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álogo" sheetId="1" state="visible" r:id="rId3"/>
    <sheet name="Ajustes" sheetId="2" state="visible" r:id="rId4"/>
  </sheets>
  <definedNames>
    <definedName function="false" hidden="true" localSheetId="0" name="_xlnm._FilterDatabase" vbProcedure="false">Catálogo!$A$1:$O$80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" authorId="0">
      <text>
        <r>
          <rPr>
            <sz val="10"/>
            <rFont val="Arial"/>
            <family val="2"/>
          </rPr>
          <t xml:space="preserve">Precio publicado por la tienda de referencia (página de inicio, 12/10/2026). Sin oferta = precio normal.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Dato dado por el dueño: precios ~15 % más bajos que la referencia. Cambia este valor y todos los precios NAC se recalculan.</t>
        </r>
      </text>
    </comment>
  </commentList>
</comments>
</file>

<file path=xl/sharedStrings.xml><?xml version="1.0" encoding="utf-8"?>
<sst xmlns="http://schemas.openxmlformats.org/spreadsheetml/2006/main" count="603" uniqueCount="219">
  <si>
    <t xml:space="preserve">Incluir</t>
  </si>
  <si>
    <t xml:space="preserve">Nombre</t>
  </si>
  <si>
    <t xml:space="preserve">Marca</t>
  </si>
  <si>
    <t xml:space="preserve">Categoría</t>
  </si>
  <si>
    <t xml:space="preserve">Precio referencia</t>
  </si>
  <si>
    <t xml:space="preserve">Oferta referencia</t>
  </si>
  <si>
    <t xml:space="preserve">Precio NAC</t>
  </si>
  <si>
    <t xml:space="preserve">Oferta NAC</t>
  </si>
  <si>
    <t xml:space="preserve">Precio manual</t>
  </si>
  <si>
    <t xml:space="preserve">Sabores / tamaños</t>
  </si>
  <si>
    <t xml:space="preserve">Stock</t>
  </si>
  <si>
    <t xml:space="preserve">Más vendido</t>
  </si>
  <si>
    <t xml:space="preserve">Nuevo</t>
  </si>
  <si>
    <t xml:space="preserve">Archivo de foto</t>
  </si>
  <si>
    <t xml:space="preserve">Notas</t>
  </si>
  <si>
    <t xml:space="preserve">Sí</t>
  </si>
  <si>
    <t xml:space="preserve">Creatina Platinum MuscleTech</t>
  </si>
  <si>
    <t xml:space="preserve">MuscleTech</t>
  </si>
  <si>
    <t xml:space="preserve">Creatinas</t>
  </si>
  <si>
    <t xml:space="preserve">Ej: Chocolate, Vainilla</t>
  </si>
  <si>
    <t xml:space="preserve">No</t>
  </si>
  <si>
    <t xml:space="preserve">products/creatina-platinum-muscletech.jpg</t>
  </si>
  <si>
    <t xml:space="preserve">Tenía rango hasta $147.000: agrega tamaños en Sabores/tamaños</t>
  </si>
  <si>
    <t xml:space="preserve">Iso 100 5LB</t>
  </si>
  <si>
    <t xml:space="preserve">Dymatize</t>
  </si>
  <si>
    <t xml:space="preserve">Proteínas limpias</t>
  </si>
  <si>
    <t xml:space="preserve">products/iso-100-5lb.jpg</t>
  </si>
  <si>
    <t xml:space="preserve">TNT Mega Mass Gainer 10LB</t>
  </si>
  <si>
    <t xml:space="preserve">TNT</t>
  </si>
  <si>
    <t xml:space="preserve">Hipercalóricos</t>
  </si>
  <si>
    <t xml:space="preserve">products/tnt-mega-mass-gainer-10lb.jpg</t>
  </si>
  <si>
    <t xml:space="preserve">Nitro Tech Whey Gold 5LB</t>
  </si>
  <si>
    <t xml:space="preserve">products/nitro-tech-whey-gold-5lb.jpg</t>
  </si>
  <si>
    <t xml:space="preserve">100% Whey Gold Standard 5LB</t>
  </si>
  <si>
    <t xml:space="preserve">Optimum Nutrition</t>
  </si>
  <si>
    <t xml:space="preserve">products/100-whey-gold-standard-5lb.jpg</t>
  </si>
  <si>
    <t xml:space="preserve">CR7INE Dynamic 450G</t>
  </si>
  <si>
    <t xml:space="preserve">Otras marcas (verificar)</t>
  </si>
  <si>
    <t xml:space="preserve">products/cr7ine-dynamic-450g.jpg</t>
  </si>
  <si>
    <t xml:space="preserve">Verificar marca</t>
  </si>
  <si>
    <t xml:space="preserve">Bipro Classic 3LB</t>
  </si>
  <si>
    <t xml:space="preserve">Nutramerican</t>
  </si>
  <si>
    <t xml:space="preserve">products/bipro-classic-3lb.jpg</t>
  </si>
  <si>
    <t xml:space="preserve">Nitro Tech 4LB</t>
  </si>
  <si>
    <t xml:space="preserve">products/nitro-tech-4lb.jpg</t>
  </si>
  <si>
    <t xml:space="preserve">Whey Pure 5LB</t>
  </si>
  <si>
    <t xml:space="preserve">products/whey-pure-5lb.jpg</t>
  </si>
  <si>
    <t xml:space="preserve">100% Whey Gold Standard 2LB</t>
  </si>
  <si>
    <t xml:space="preserve">products/100-whey-gold-standard-2lb.jpg</t>
  </si>
  <si>
    <t xml:space="preserve">Bipro Classic 2LB</t>
  </si>
  <si>
    <t xml:space="preserve">products/bipro-classic-2lb.jpg</t>
  </si>
  <si>
    <t xml:space="preserve">Smart Gainer 3LB</t>
  </si>
  <si>
    <t xml:space="preserve">products/smart-gainer-3lb.jpg</t>
  </si>
  <si>
    <t xml:space="preserve">Carnivor 0 4LB</t>
  </si>
  <si>
    <t xml:space="preserve">MuscleMeds</t>
  </si>
  <si>
    <t xml:space="preserve">products/carnivor-0-4lb.jpg</t>
  </si>
  <si>
    <t xml:space="preserve">Crea Stack 60 Servicios</t>
  </si>
  <si>
    <t xml:space="preserve">products/crea-stack-60-servicios.jpg</t>
  </si>
  <si>
    <t xml:space="preserve">Platinum Multivitaminico 90 Tabletas</t>
  </si>
  <si>
    <t xml:space="preserve">Multivitamínicos</t>
  </si>
  <si>
    <t xml:space="preserve">products/platinum-multivitaminico-90-tabletas.jpg</t>
  </si>
  <si>
    <t xml:space="preserve">Atomic HCL 600G</t>
  </si>
  <si>
    <t xml:space="preserve">products/atomic-hcl-600g.jpg</t>
  </si>
  <si>
    <t xml:space="preserve">Legacy 50 Servicios</t>
  </si>
  <si>
    <t xml:space="preserve">products/legacy-50-servicios.jpg</t>
  </si>
  <si>
    <t xml:space="preserve">Creactor</t>
  </si>
  <si>
    <t xml:space="preserve">products/creactor.jpg</t>
  </si>
  <si>
    <t xml:space="preserve">Creatina Optimum Nutrition 600G</t>
  </si>
  <si>
    <t xml:space="preserve">products/creatina-optimum-nutrition-600g.jpg</t>
  </si>
  <si>
    <t xml:space="preserve">100% Whey Gold Standard 10LB</t>
  </si>
  <si>
    <t xml:space="preserve">products/100-whey-gold-standard-10lb.jpg</t>
  </si>
  <si>
    <t xml:space="preserve">Iso 100 3LB</t>
  </si>
  <si>
    <t xml:space="preserve">products/iso-100-3lb.jpg</t>
  </si>
  <si>
    <t xml:space="preserve">Nitro Tech 2LB</t>
  </si>
  <si>
    <t xml:space="preserve">products/nitro-tech-2lb.jpg</t>
  </si>
  <si>
    <t xml:space="preserve">Nitro Tech 10LB</t>
  </si>
  <si>
    <t xml:space="preserve">products/nitro-tech-10lb.jpg</t>
  </si>
  <si>
    <t xml:space="preserve">Nitro Tech Ripped 4LB</t>
  </si>
  <si>
    <t xml:space="preserve">products/nitro-tech-ripped-4lb.jpg</t>
  </si>
  <si>
    <t xml:space="preserve">Syntha 6 5LB</t>
  </si>
  <si>
    <t xml:space="preserve">BSN</t>
  </si>
  <si>
    <t xml:space="preserve">products/syntha-6-5lb.jpg</t>
  </si>
  <si>
    <t xml:space="preserve">Serious Mass 6LB</t>
  </si>
  <si>
    <t xml:space="preserve">products/serious-mass-6lb.jpg</t>
  </si>
  <si>
    <t xml:space="preserve">PASE Día de Muertos 2026</t>
  </si>
  <si>
    <t xml:space="preserve">Pre-entrenos</t>
  </si>
  <si>
    <t xml:space="preserve">products/pase-dia-de-muertos-2026.jpg</t>
  </si>
  <si>
    <t xml:space="preserve">Intenze Halloween 2026</t>
  </si>
  <si>
    <t xml:space="preserve">products/intenze-halloween-2026.jpg</t>
  </si>
  <si>
    <t xml:space="preserve">V-Gana PRO 1.5LB</t>
  </si>
  <si>
    <t xml:space="preserve">products/v-gana-pro-1-5lb.jpg</t>
  </si>
  <si>
    <t xml:space="preserve">Creatina IMN 500G</t>
  </si>
  <si>
    <t xml:space="preserve">IMN</t>
  </si>
  <si>
    <t xml:space="preserve">products/creatina-imn-500g.jpg</t>
  </si>
  <si>
    <t xml:space="preserve">Lata C4 Energy Original (12 Unidades)</t>
  </si>
  <si>
    <t xml:space="preserve">Cellucor</t>
  </si>
  <si>
    <t xml:space="preserve">products/lata-c4-energy-original-12-unidades.jpg</t>
  </si>
  <si>
    <t xml:space="preserve">C4 Original 60 Servicios</t>
  </si>
  <si>
    <t xml:space="preserve">products/c4-original-60-servicios.jpg</t>
  </si>
  <si>
    <t xml:space="preserve">C4 Original 30 Servicios</t>
  </si>
  <si>
    <t xml:space="preserve">products/c4-original-30-servicios.jpg</t>
  </si>
  <si>
    <t xml:space="preserve">Prime W Collagen Stack</t>
  </si>
  <si>
    <t xml:space="preserve">products/prime-w-collagen-stack.jpg</t>
  </si>
  <si>
    <t xml:space="preserve">Creatina Forcehold Healthy Sports 120 Gomitas</t>
  </si>
  <si>
    <t xml:space="preserve">Healthy Sports</t>
  </si>
  <si>
    <t xml:space="preserve">products/creatina-forcehold-healthy-sports-120-gomitas.jpg</t>
  </si>
  <si>
    <t xml:space="preserve">Crea Gold 600G Alpha Bull</t>
  </si>
  <si>
    <t xml:space="preserve">Alpha Bull</t>
  </si>
  <si>
    <t xml:space="preserve">products/crea-gold-600g-alpha-bull.jpg</t>
  </si>
  <si>
    <t xml:space="preserve">Crea Gold 300G Alpha Bull</t>
  </si>
  <si>
    <t xml:space="preserve">products/crea-gold-300g-alpha-bull.jpg</t>
  </si>
  <si>
    <t xml:space="preserve">Crea Gold 150G Alpha Bull</t>
  </si>
  <si>
    <t xml:space="preserve">products/crea-gold-150g-alpha-bull.jpg</t>
  </si>
  <si>
    <t xml:space="preserve">Magnesio Bisglicinato 60 Perlas Proscience</t>
  </si>
  <si>
    <t xml:space="preserve">Proscience</t>
  </si>
  <si>
    <t xml:space="preserve">products/magnesio-bisglicinato-60-perlas-proscience.jpg</t>
  </si>
  <si>
    <t xml:space="preserve">Whey Pure 3LB</t>
  </si>
  <si>
    <t xml:space="preserve">products/whey-pure-3lb.jpg</t>
  </si>
  <si>
    <t xml:space="preserve">Syrup Queen 320G (Salsa)</t>
  </si>
  <si>
    <t xml:space="preserve">Snacks</t>
  </si>
  <si>
    <t xml:space="preserve">products/syrup-queen-320g-salsa.jpg</t>
  </si>
  <si>
    <t xml:space="preserve">Whey Cakes 1.45LB (Pancake)</t>
  </si>
  <si>
    <t xml:space="preserve">products/whey-cakes-1-45lb-pancake.jpg</t>
  </si>
  <si>
    <t xml:space="preserve">Probióticos 60 Gomitas Healthy América</t>
  </si>
  <si>
    <t xml:space="preserve">Healthy America</t>
  </si>
  <si>
    <t xml:space="preserve">products/probioticos-60-gomitas-healthy-america.jpg</t>
  </si>
  <si>
    <t xml:space="preserve">NITROX IGNITE 300G</t>
  </si>
  <si>
    <t xml:space="preserve">products/nitrox-ignite-300g.jpg</t>
  </si>
  <si>
    <t xml:space="preserve">Protein Mass 2LB Doctor Stronger</t>
  </si>
  <si>
    <t xml:space="preserve">Doctor Stronger</t>
  </si>
  <si>
    <t xml:space="preserve">products/protein-mass-2lb-doctor-stronger.jpg</t>
  </si>
  <si>
    <t xml:space="preserve">Citrato de Magnesio 60 Gomitas Healthy América</t>
  </si>
  <si>
    <t xml:space="preserve">products/citrato-de-magnesio-60-gomitas-healthy-america.jpg</t>
  </si>
  <si>
    <t xml:space="preserve">Creatina Time 600g Vitanas</t>
  </si>
  <si>
    <t xml:space="preserve">Vitanas</t>
  </si>
  <si>
    <t xml:space="preserve">products/creatina-time-600g-vitanas.jpg</t>
  </si>
  <si>
    <t xml:space="preserve">Atomic Monohidrato 300G</t>
  </si>
  <si>
    <t xml:space="preserve">products/atomic-monohidrato-300g.jpg</t>
  </si>
  <si>
    <t xml:space="preserve">Electron 300g</t>
  </si>
  <si>
    <t xml:space="preserve">products/electron-300g.jpg</t>
  </si>
  <si>
    <t xml:space="preserve">Creatina Ultra Pure 500g Iron Nutrition</t>
  </si>
  <si>
    <t xml:space="preserve">Iron Nutrition</t>
  </si>
  <si>
    <t xml:space="preserve">products/creatina-ultra-pure-500g-iron-nutrition.jpg</t>
  </si>
  <si>
    <t xml:space="preserve">Burner Stack 50 Sachets</t>
  </si>
  <si>
    <t xml:space="preserve">Quemadores</t>
  </si>
  <si>
    <t xml:space="preserve">products/burner-stack-50-sachets.jpg</t>
  </si>
  <si>
    <t xml:space="preserve">Nut Rx</t>
  </si>
  <si>
    <t xml:space="preserve">products/nut-rx.jpg</t>
  </si>
  <si>
    <t xml:space="preserve">Animal Iso Whey 2LB Universal</t>
  </si>
  <si>
    <t xml:space="preserve">Universal</t>
  </si>
  <si>
    <t xml:space="preserve">products/animal-iso-whey-2lb-universal.jpg</t>
  </si>
  <si>
    <t xml:space="preserve">Animal Iso Whey 4LB Universal</t>
  </si>
  <si>
    <t xml:space="preserve">products/animal-iso-whey-4lb-universal.jpg</t>
  </si>
  <si>
    <t xml:space="preserve">Animal Pak 44 Packs Universal</t>
  </si>
  <si>
    <t xml:space="preserve">products/animal-pak-44-packs-universal.jpg</t>
  </si>
  <si>
    <t xml:space="preserve">Animal 100% Whey Protein 4LB Universal</t>
  </si>
  <si>
    <t xml:space="preserve">products/animal-100-whey-protein-4lb-universal.jpg</t>
  </si>
  <si>
    <t xml:space="preserve">Creatina Animal 500G Universal</t>
  </si>
  <si>
    <t xml:space="preserve">products/creatina-animal-500g-universal.jpg</t>
  </si>
  <si>
    <t xml:space="preserve">B Complex 60 Gomitas Healthy América</t>
  </si>
  <si>
    <t xml:space="preserve">products/b-complex-60-gomitas-healthy-america.jpg</t>
  </si>
  <si>
    <t xml:space="preserve">Citrato de Magnesio 1500mg 60 Cápsulas Healthy América</t>
  </si>
  <si>
    <t xml:space="preserve">products/citrato-de-magnesio-1500mg-60-capsulas-healthy-america.jpg</t>
  </si>
  <si>
    <t xml:space="preserve">Nutra Pops 12 Unidades 45g Cereal Proteico</t>
  </si>
  <si>
    <t xml:space="preserve">products/nutra-pops-12-unidades-45g-cereal-proteico.jpg</t>
  </si>
  <si>
    <t xml:space="preserve">Nutra Pops 495g Cereal Proteico</t>
  </si>
  <si>
    <t xml:space="preserve">products/nutra-pops-495g-cereal-proteico.jpg</t>
  </si>
  <si>
    <t xml:space="preserve">EAA+ 30 Servicios MuscleTech</t>
  </si>
  <si>
    <t xml:space="preserve">Aminoácidos</t>
  </si>
  <si>
    <t xml:space="preserve">products/eaa-30-servicios-muscletech.jpg</t>
  </si>
  <si>
    <t xml:space="preserve">Dylator 30 Servicios</t>
  </si>
  <si>
    <t xml:space="preserve">products/dylator-30-servicios.jpg</t>
  </si>
  <si>
    <t xml:space="preserve">Supreme Multivitamínico 60 Gomitas TNT</t>
  </si>
  <si>
    <t xml:space="preserve">products/supreme-multivitaminico-60-gomitas-tnt.jpg</t>
  </si>
  <si>
    <t xml:space="preserve">Creatina Ultra 90 Gomitas TNT</t>
  </si>
  <si>
    <t xml:space="preserve">products/creatina-ultra-90-gomitas-tnt.jpg</t>
  </si>
  <si>
    <t xml:space="preserve">Creatina Ultra 150G Creapure TNT</t>
  </si>
  <si>
    <t xml:space="preserve">products/creatina-ultra-150g-creapure-tnt.jpg</t>
  </si>
  <si>
    <t xml:space="preserve">Creatina Ultra 300G Creapure TNT</t>
  </si>
  <si>
    <t xml:space="preserve">products/creatina-ultra-300g-creapure-tnt.jpg</t>
  </si>
  <si>
    <t xml:space="preserve">Creatina Animal 1000G Universal</t>
  </si>
  <si>
    <t xml:space="preserve">products/creatina-animal-1000g-universal.jpg</t>
  </si>
  <si>
    <t xml:space="preserve">Creatina Animal 300G Universal</t>
  </si>
  <si>
    <t xml:space="preserve">products/creatina-animal-300g-universal.jpg</t>
  </si>
  <si>
    <t xml:space="preserve">EAA’S 540g Supra</t>
  </si>
  <si>
    <t xml:space="preserve">Supra</t>
  </si>
  <si>
    <t xml:space="preserve">products/eaa-s-540g-supra.jpg</t>
  </si>
  <si>
    <t xml:space="preserve">Radical Power 360G</t>
  </si>
  <si>
    <t xml:space="preserve">products/radical-power-360g.jpg</t>
  </si>
  <si>
    <t xml:space="preserve">Crex Monohidrato 500G Rhinox</t>
  </si>
  <si>
    <t xml:space="preserve">Rhinox</t>
  </si>
  <si>
    <t xml:space="preserve">products/crex-monohidrato-500g-rhinox.jpg</t>
  </si>
  <si>
    <t xml:space="preserve">Creatina Optimum Nutrition 1.2KG</t>
  </si>
  <si>
    <t xml:space="preserve">products/creatina-optimum-nutrition-1-2kg.jpg</t>
  </si>
  <si>
    <t xml:space="preserve">Creapure IMN LAB 300G</t>
  </si>
  <si>
    <t xml:space="preserve">products/creapure-imn-lab-300g.jpg</t>
  </si>
  <si>
    <t xml:space="preserve">Vitamina D2000 + K2 120 Cápsulas IMN</t>
  </si>
  <si>
    <t xml:space="preserve">products/vitamina-d2000-k2-120-capsulas-imn.jpg</t>
  </si>
  <si>
    <t xml:space="preserve">Complejo B 120 Cápsulas IMN</t>
  </si>
  <si>
    <t xml:space="preserve">products/complejo-b-120-capsulas-imn.jpg</t>
  </si>
  <si>
    <t xml:space="preserve">Omega 3 120 Cápsulas IMN</t>
  </si>
  <si>
    <t xml:space="preserve">products/omega-3-120-capsulas-imn.jpg</t>
  </si>
  <si>
    <t xml:space="preserve">Cre Monohidratada 910g Supra</t>
  </si>
  <si>
    <t xml:space="preserve">products/cre-monohidratada-910g-supra.jpg</t>
  </si>
  <si>
    <t xml:space="preserve">Vitamina D3 + K2 60 Perlas Proscience</t>
  </si>
  <si>
    <t xml:space="preserve">products/vitamina-d3-k2-60-perlas-proscience.jpg</t>
  </si>
  <si>
    <t xml:space="preserve">Ajustes del catálogo</t>
  </si>
  <si>
    <t xml:space="preserve">Descuento frente a la referencia</t>
  </si>
  <si>
    <t xml:space="preserve">Redondeo</t>
  </si>
  <si>
    <t xml:space="preserve">A miles (ej: $118.150 → $118.000)</t>
  </si>
  <si>
    <t xml:space="preserve">Cómo usar este archivo</t>
  </si>
  <si>
    <t xml:space="preserve">1. En la hoja Catálogo, edita solo las celdas amarillas (precios propios, sabores, stock, etc.).</t>
  </si>
  <si>
    <t xml:space="preserve">2. Las columnas "Precio NAC" y "Oferta NAC" se calculan solas con el descuento de arriba. Si quieres un precio distinto, escríbelo en "Precio manual".</t>
  </si>
  <si>
    <t xml:space="preserve">3. Marca "No" en la columna Incluir para quitar un producto de la página.</t>
  </si>
  <si>
    <t xml:space="preserve">4. "Marca" dice "Otras marcas (verificar)" cuando el nombre no la deja clara: corrígela.</t>
  </si>
  <si>
    <t xml:space="preserve">5. Guarda cada foto en la carpeta products con el nombre de la columna "Archivo de foto".</t>
  </si>
  <si>
    <t xml:space="preserve">6. Cuando termines, envía este Excel a Claude para actualizar la página.</t>
  </si>
  <si>
    <t xml:space="preserve">Precios de referencia: tomados del código de la página guardado el 12/10/2026 (página de inicio).</t>
  </si>
  <si>
    <t xml:space="preserve">Se excluyeron 8 combos que son armados propios de la tienda de referencia.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</si>
</sst>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-$&quot;#,##0;\-"/>
    <numFmt numFmtId="166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EFEFE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FEFE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4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6" min="5" style="0" width="15"/>
    <col collapsed="false" customWidth="true" hidden="false" outlineLevel="0" max="9" min="7" style="0" width="14"/>
    <col collapsed="false" customWidth="true" hidden="false" outlineLevel="0" max="10" min="10" style="0" width="30"/>
    <col collapsed="false" customWidth="true" hidden="false" outlineLevel="0" max="11" min="11" style="0" width="8"/>
    <col collapsed="false" customWidth="true" hidden="false" outlineLevel="0" max="12" min="12" style="0" width="12"/>
    <col collapsed="false" customWidth="true" hidden="false" outlineLevel="0" max="13" min="13" style="0" width="8"/>
    <col collapsed="false" customWidth="true" hidden="false" outlineLevel="0" max="14" min="14" style="0" width="40"/>
    <col collapsed="false" customWidth="true" hidden="false" outlineLevel="0" max="15" min="15" style="0" width="34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s">
        <v>15</v>
      </c>
      <c r="B2" s="3" t="s">
        <v>16</v>
      </c>
      <c r="C2" s="3" t="s">
        <v>17</v>
      </c>
      <c r="D2" s="3" t="s">
        <v>18</v>
      </c>
      <c r="E2" s="4" t="n">
        <v>139000</v>
      </c>
      <c r="F2" s="4"/>
      <c r="G2" s="5" t="n">
        <f aca="false">IF(I2&lt;&gt;"",I2,ROUND(E2*(1-Ajustes!$B$3),-3))</f>
        <v>118000</v>
      </c>
      <c r="H2" s="5" t="str">
        <f aca="false">IF(F2="","",ROUND(F2*(1-Ajustes!$B$3),-3))</f>
        <v/>
      </c>
      <c r="I2" s="6"/>
      <c r="J2" s="2" t="s">
        <v>19</v>
      </c>
      <c r="K2" s="2" t="n">
        <v>10</v>
      </c>
      <c r="L2" s="2" t="s">
        <v>15</v>
      </c>
      <c r="M2" s="2" t="s">
        <v>20</v>
      </c>
      <c r="N2" s="3" t="s">
        <v>21</v>
      </c>
      <c r="O2" s="3" t="s">
        <v>22</v>
      </c>
    </row>
    <row r="3" customFormat="false" ht="15" hidden="false" customHeight="false" outlineLevel="0" collapsed="false">
      <c r="A3" s="2" t="s">
        <v>15</v>
      </c>
      <c r="B3" s="3" t="s">
        <v>23</v>
      </c>
      <c r="C3" s="3" t="s">
        <v>24</v>
      </c>
      <c r="D3" s="3" t="s">
        <v>25</v>
      </c>
      <c r="E3" s="4" t="n">
        <v>620000</v>
      </c>
      <c r="F3" s="4" t="n">
        <v>591000</v>
      </c>
      <c r="G3" s="5" t="n">
        <f aca="false">IF(I3&lt;&gt;"",I3,ROUND(E3*(1-Ajustes!$B$3),-3))</f>
        <v>527000</v>
      </c>
      <c r="H3" s="5" t="n">
        <f aca="false">IF(F3="","",ROUND(F3*(1-Ajustes!$B$3),-3))</f>
        <v>502000</v>
      </c>
      <c r="I3" s="6"/>
      <c r="J3" s="2"/>
      <c r="K3" s="2" t="n">
        <v>10</v>
      </c>
      <c r="L3" s="2" t="s">
        <v>15</v>
      </c>
      <c r="M3" s="2" t="s">
        <v>20</v>
      </c>
      <c r="N3" s="3" t="s">
        <v>26</v>
      </c>
      <c r="O3" s="3"/>
    </row>
    <row r="4" customFormat="false" ht="15" hidden="false" customHeight="false" outlineLevel="0" collapsed="false">
      <c r="A4" s="2" t="s">
        <v>15</v>
      </c>
      <c r="B4" s="3" t="s">
        <v>27</v>
      </c>
      <c r="C4" s="3" t="s">
        <v>28</v>
      </c>
      <c r="D4" s="3" t="s">
        <v>29</v>
      </c>
      <c r="E4" s="4" t="n">
        <v>245000</v>
      </c>
      <c r="F4" s="4" t="n">
        <v>237000</v>
      </c>
      <c r="G4" s="5" t="n">
        <f aca="false">IF(I4&lt;&gt;"",I4,ROUND(E4*(1-Ajustes!$B$3),-3))</f>
        <v>208000</v>
      </c>
      <c r="H4" s="5" t="n">
        <f aca="false">IF(F4="","",ROUND(F4*(1-Ajustes!$B$3),-3))</f>
        <v>201000</v>
      </c>
      <c r="I4" s="6"/>
      <c r="J4" s="2"/>
      <c r="K4" s="2" t="n">
        <v>10</v>
      </c>
      <c r="L4" s="2" t="s">
        <v>15</v>
      </c>
      <c r="M4" s="2" t="s">
        <v>20</v>
      </c>
      <c r="N4" s="3" t="s">
        <v>30</v>
      </c>
      <c r="O4" s="3"/>
    </row>
    <row r="5" customFormat="false" ht="15" hidden="false" customHeight="false" outlineLevel="0" collapsed="false">
      <c r="A5" s="2" t="s">
        <v>15</v>
      </c>
      <c r="B5" s="3" t="s">
        <v>31</v>
      </c>
      <c r="C5" s="3" t="s">
        <v>17</v>
      </c>
      <c r="D5" s="3" t="s">
        <v>25</v>
      </c>
      <c r="E5" s="4" t="n">
        <v>420000</v>
      </c>
      <c r="F5" s="4" t="n">
        <v>393000</v>
      </c>
      <c r="G5" s="5" t="n">
        <f aca="false">IF(I5&lt;&gt;"",I5,ROUND(E5*(1-Ajustes!$B$3),-3))</f>
        <v>357000</v>
      </c>
      <c r="H5" s="5" t="n">
        <f aca="false">IF(F5="","",ROUND(F5*(1-Ajustes!$B$3),-3))</f>
        <v>334000</v>
      </c>
      <c r="I5" s="6"/>
      <c r="J5" s="2"/>
      <c r="K5" s="2" t="n">
        <v>10</v>
      </c>
      <c r="L5" s="2" t="s">
        <v>15</v>
      </c>
      <c r="M5" s="2" t="s">
        <v>20</v>
      </c>
      <c r="N5" s="3" t="s">
        <v>32</v>
      </c>
      <c r="O5" s="3"/>
    </row>
    <row r="6" customFormat="false" ht="15" hidden="false" customHeight="false" outlineLevel="0" collapsed="false">
      <c r="A6" s="2" t="s">
        <v>15</v>
      </c>
      <c r="B6" s="3" t="s">
        <v>33</v>
      </c>
      <c r="C6" s="3" t="s">
        <v>34</v>
      </c>
      <c r="D6" s="3" t="s">
        <v>25</v>
      </c>
      <c r="E6" s="4" t="n">
        <v>500000</v>
      </c>
      <c r="F6" s="4" t="n">
        <v>465000</v>
      </c>
      <c r="G6" s="5" t="n">
        <f aca="false">IF(I6&lt;&gt;"",I6,ROUND(E6*(1-Ajustes!$B$3),-3))</f>
        <v>425000</v>
      </c>
      <c r="H6" s="5" t="n">
        <f aca="false">IF(F6="","",ROUND(F6*(1-Ajustes!$B$3),-3))</f>
        <v>395000</v>
      </c>
      <c r="I6" s="6"/>
      <c r="J6" s="2"/>
      <c r="K6" s="2" t="n">
        <v>10</v>
      </c>
      <c r="L6" s="2" t="s">
        <v>15</v>
      </c>
      <c r="M6" s="2" t="s">
        <v>20</v>
      </c>
      <c r="N6" s="3" t="s">
        <v>35</v>
      </c>
      <c r="O6" s="3"/>
    </row>
    <row r="7" customFormat="false" ht="15" hidden="false" customHeight="false" outlineLevel="0" collapsed="false">
      <c r="A7" s="2" t="s">
        <v>15</v>
      </c>
      <c r="B7" s="3" t="s">
        <v>36</v>
      </c>
      <c r="C7" s="3" t="s">
        <v>37</v>
      </c>
      <c r="D7" s="3" t="s">
        <v>18</v>
      </c>
      <c r="E7" s="4" t="n">
        <v>96000</v>
      </c>
      <c r="F7" s="4" t="n">
        <v>69000</v>
      </c>
      <c r="G7" s="5" t="n">
        <f aca="false">IF(I7&lt;&gt;"",I7,ROUND(E7*(1-Ajustes!$B$3),-3))</f>
        <v>82000</v>
      </c>
      <c r="H7" s="5" t="n">
        <f aca="false">IF(F7="","",ROUND(F7*(1-Ajustes!$B$3),-3))</f>
        <v>59000</v>
      </c>
      <c r="I7" s="6"/>
      <c r="J7" s="2"/>
      <c r="K7" s="2" t="n">
        <v>10</v>
      </c>
      <c r="L7" s="2" t="s">
        <v>15</v>
      </c>
      <c r="M7" s="2" t="s">
        <v>20</v>
      </c>
      <c r="N7" s="3" t="s">
        <v>38</v>
      </c>
      <c r="O7" s="3" t="s">
        <v>39</v>
      </c>
    </row>
    <row r="8" customFormat="false" ht="15" hidden="false" customHeight="false" outlineLevel="0" collapsed="false">
      <c r="A8" s="2" t="s">
        <v>15</v>
      </c>
      <c r="B8" s="3" t="s">
        <v>40</v>
      </c>
      <c r="C8" s="3" t="s">
        <v>41</v>
      </c>
      <c r="D8" s="3" t="s">
        <v>25</v>
      </c>
      <c r="E8" s="4" t="n">
        <v>290000</v>
      </c>
      <c r="F8" s="4" t="n">
        <v>264000</v>
      </c>
      <c r="G8" s="5" t="n">
        <f aca="false">IF(I8&lt;&gt;"",I8,ROUND(E8*(1-Ajustes!$B$3),-3))</f>
        <v>247000</v>
      </c>
      <c r="H8" s="5" t="n">
        <f aca="false">IF(F8="","",ROUND(F8*(1-Ajustes!$B$3),-3))</f>
        <v>224000</v>
      </c>
      <c r="I8" s="6"/>
      <c r="J8" s="2"/>
      <c r="K8" s="2" t="n">
        <v>10</v>
      </c>
      <c r="L8" s="2" t="s">
        <v>15</v>
      </c>
      <c r="M8" s="2" t="s">
        <v>20</v>
      </c>
      <c r="N8" s="3" t="s">
        <v>42</v>
      </c>
      <c r="O8" s="3"/>
    </row>
    <row r="9" customFormat="false" ht="15" hidden="false" customHeight="false" outlineLevel="0" collapsed="false">
      <c r="A9" s="2" t="s">
        <v>15</v>
      </c>
      <c r="B9" s="3" t="s">
        <v>43</v>
      </c>
      <c r="C9" s="3" t="s">
        <v>17</v>
      </c>
      <c r="D9" s="3" t="s">
        <v>25</v>
      </c>
      <c r="E9" s="4" t="n">
        <v>370000</v>
      </c>
      <c r="F9" s="4" t="n">
        <v>347000</v>
      </c>
      <c r="G9" s="5" t="n">
        <f aca="false">IF(I9&lt;&gt;"",I9,ROUND(E9*(1-Ajustes!$B$3),-3))</f>
        <v>315000</v>
      </c>
      <c r="H9" s="5" t="n">
        <f aca="false">IF(F9="","",ROUND(F9*(1-Ajustes!$B$3),-3))</f>
        <v>295000</v>
      </c>
      <c r="I9" s="6"/>
      <c r="J9" s="2"/>
      <c r="K9" s="2" t="n">
        <v>10</v>
      </c>
      <c r="L9" s="2" t="s">
        <v>15</v>
      </c>
      <c r="M9" s="2" t="s">
        <v>20</v>
      </c>
      <c r="N9" s="3" t="s">
        <v>44</v>
      </c>
      <c r="O9" s="3"/>
    </row>
    <row r="10" customFormat="false" ht="15" hidden="false" customHeight="false" outlineLevel="0" collapsed="false">
      <c r="A10" s="2" t="s">
        <v>15</v>
      </c>
      <c r="B10" s="3" t="s">
        <v>45</v>
      </c>
      <c r="C10" s="3" t="s">
        <v>41</v>
      </c>
      <c r="D10" s="3" t="s">
        <v>25</v>
      </c>
      <c r="E10" s="4" t="n">
        <v>311000</v>
      </c>
      <c r="F10" s="4"/>
      <c r="G10" s="5" t="n">
        <f aca="false">IF(I10&lt;&gt;"",I10,ROUND(E10*(1-Ajustes!$B$3),-3))</f>
        <v>264000</v>
      </c>
      <c r="H10" s="5" t="str">
        <f aca="false">IF(F10="","",ROUND(F10*(1-Ajustes!$B$3),-3))</f>
        <v/>
      </c>
      <c r="I10" s="6"/>
      <c r="J10" s="2"/>
      <c r="K10" s="2" t="n">
        <v>10</v>
      </c>
      <c r="L10" s="2" t="s">
        <v>15</v>
      </c>
      <c r="M10" s="2" t="s">
        <v>20</v>
      </c>
      <c r="N10" s="3" t="s">
        <v>46</v>
      </c>
      <c r="O10" s="3"/>
    </row>
    <row r="11" customFormat="false" ht="15" hidden="false" customHeight="false" outlineLevel="0" collapsed="false">
      <c r="A11" s="2" t="s">
        <v>15</v>
      </c>
      <c r="B11" s="3" t="s">
        <v>47</v>
      </c>
      <c r="C11" s="3" t="s">
        <v>34</v>
      </c>
      <c r="D11" s="3" t="s">
        <v>25</v>
      </c>
      <c r="E11" s="4" t="n">
        <v>280000</v>
      </c>
      <c r="F11" s="4" t="n">
        <v>256000</v>
      </c>
      <c r="G11" s="5" t="n">
        <f aca="false">IF(I11&lt;&gt;"",I11,ROUND(E11*(1-Ajustes!$B$3),-3))</f>
        <v>238000</v>
      </c>
      <c r="H11" s="5" t="n">
        <f aca="false">IF(F11="","",ROUND(F11*(1-Ajustes!$B$3),-3))</f>
        <v>218000</v>
      </c>
      <c r="I11" s="6"/>
      <c r="J11" s="2"/>
      <c r="K11" s="2" t="n">
        <v>10</v>
      </c>
      <c r="L11" s="2" t="s">
        <v>15</v>
      </c>
      <c r="M11" s="2" t="s">
        <v>20</v>
      </c>
      <c r="N11" s="3" t="s">
        <v>48</v>
      </c>
      <c r="O11" s="3"/>
    </row>
    <row r="12" customFormat="false" ht="15" hidden="false" customHeight="false" outlineLevel="0" collapsed="false">
      <c r="A12" s="2" t="s">
        <v>15</v>
      </c>
      <c r="B12" s="3" t="s">
        <v>49</v>
      </c>
      <c r="C12" s="3" t="s">
        <v>41</v>
      </c>
      <c r="D12" s="3" t="s">
        <v>25</v>
      </c>
      <c r="E12" s="4" t="n">
        <v>210000</v>
      </c>
      <c r="F12" s="4"/>
      <c r="G12" s="5" t="n">
        <f aca="false">IF(I12&lt;&gt;"",I12,ROUND(E12*(1-Ajustes!$B$3),-3))</f>
        <v>179000</v>
      </c>
      <c r="H12" s="5" t="str">
        <f aca="false">IF(F12="","",ROUND(F12*(1-Ajustes!$B$3),-3))</f>
        <v/>
      </c>
      <c r="I12" s="6"/>
      <c r="J12" s="2"/>
      <c r="K12" s="2" t="n">
        <v>10</v>
      </c>
      <c r="L12" s="2" t="s">
        <v>15</v>
      </c>
      <c r="M12" s="2" t="s">
        <v>20</v>
      </c>
      <c r="N12" s="3" t="s">
        <v>50</v>
      </c>
      <c r="O12" s="3"/>
    </row>
    <row r="13" customFormat="false" ht="15" hidden="false" customHeight="false" outlineLevel="0" collapsed="false">
      <c r="A13" s="2" t="s">
        <v>15</v>
      </c>
      <c r="B13" s="3" t="s">
        <v>51</v>
      </c>
      <c r="C13" s="3" t="s">
        <v>41</v>
      </c>
      <c r="D13" s="3" t="s">
        <v>29</v>
      </c>
      <c r="E13" s="4" t="n">
        <v>120000</v>
      </c>
      <c r="F13" s="4" t="n">
        <v>101000</v>
      </c>
      <c r="G13" s="5" t="n">
        <f aca="false">IF(I13&lt;&gt;"",I13,ROUND(E13*(1-Ajustes!$B$3),-3))</f>
        <v>102000</v>
      </c>
      <c r="H13" s="5" t="n">
        <f aca="false">IF(F13="","",ROUND(F13*(1-Ajustes!$B$3),-3))</f>
        <v>86000</v>
      </c>
      <c r="I13" s="6"/>
      <c r="J13" s="2"/>
      <c r="K13" s="2" t="n">
        <v>10</v>
      </c>
      <c r="L13" s="2" t="s">
        <v>15</v>
      </c>
      <c r="M13" s="2" t="s">
        <v>20</v>
      </c>
      <c r="N13" s="3" t="s">
        <v>52</v>
      </c>
      <c r="O13" s="3"/>
    </row>
    <row r="14" customFormat="false" ht="15" hidden="false" customHeight="false" outlineLevel="0" collapsed="false">
      <c r="A14" s="2" t="s">
        <v>15</v>
      </c>
      <c r="B14" s="3" t="s">
        <v>53</v>
      </c>
      <c r="C14" s="3" t="s">
        <v>54</v>
      </c>
      <c r="D14" s="3" t="s">
        <v>25</v>
      </c>
      <c r="E14" s="4" t="n">
        <v>314000</v>
      </c>
      <c r="F14" s="4" t="n">
        <v>287000</v>
      </c>
      <c r="G14" s="5" t="n">
        <f aca="false">IF(I14&lt;&gt;"",I14,ROUND(E14*(1-Ajustes!$B$3),-3))</f>
        <v>267000</v>
      </c>
      <c r="H14" s="5" t="n">
        <f aca="false">IF(F14="","",ROUND(F14*(1-Ajustes!$B$3),-3))</f>
        <v>244000</v>
      </c>
      <c r="I14" s="6"/>
      <c r="J14" s="2"/>
      <c r="K14" s="2" t="n">
        <v>10</v>
      </c>
      <c r="L14" s="2" t="s">
        <v>15</v>
      </c>
      <c r="M14" s="2" t="s">
        <v>20</v>
      </c>
      <c r="N14" s="3" t="s">
        <v>55</v>
      </c>
      <c r="O14" s="3"/>
    </row>
    <row r="15" customFormat="false" ht="15" hidden="false" customHeight="false" outlineLevel="0" collapsed="false">
      <c r="A15" s="2" t="s">
        <v>15</v>
      </c>
      <c r="B15" s="3" t="s">
        <v>56</v>
      </c>
      <c r="C15" s="3" t="s">
        <v>37</v>
      </c>
      <c r="D15" s="3" t="s">
        <v>18</v>
      </c>
      <c r="E15" s="4" t="n">
        <v>140000</v>
      </c>
      <c r="F15" s="4"/>
      <c r="G15" s="5" t="n">
        <f aca="false">IF(I15&lt;&gt;"",I15,ROUND(E15*(1-Ajustes!$B$3),-3))</f>
        <v>119000</v>
      </c>
      <c r="H15" s="5" t="str">
        <f aca="false">IF(F15="","",ROUND(F15*(1-Ajustes!$B$3),-3))</f>
        <v/>
      </c>
      <c r="I15" s="6"/>
      <c r="J15" s="2"/>
      <c r="K15" s="2" t="n">
        <v>10</v>
      </c>
      <c r="L15" s="2" t="s">
        <v>15</v>
      </c>
      <c r="M15" s="2" t="s">
        <v>20</v>
      </c>
      <c r="N15" s="3" t="s">
        <v>57</v>
      </c>
      <c r="O15" s="3" t="s">
        <v>39</v>
      </c>
    </row>
    <row r="16" customFormat="false" ht="15" hidden="false" customHeight="false" outlineLevel="0" collapsed="false">
      <c r="A16" s="2" t="s">
        <v>15</v>
      </c>
      <c r="B16" s="3" t="s">
        <v>58</v>
      </c>
      <c r="C16" s="3" t="s">
        <v>17</v>
      </c>
      <c r="D16" s="3" t="s">
        <v>59</v>
      </c>
      <c r="E16" s="4" t="n">
        <v>87000</v>
      </c>
      <c r="F16" s="4"/>
      <c r="G16" s="5" t="n">
        <f aca="false">IF(I16&lt;&gt;"",I16,ROUND(E16*(1-Ajustes!$B$3),-3))</f>
        <v>74000</v>
      </c>
      <c r="H16" s="5" t="str">
        <f aca="false">IF(F16="","",ROUND(F16*(1-Ajustes!$B$3),-3))</f>
        <v/>
      </c>
      <c r="I16" s="6"/>
      <c r="J16" s="2"/>
      <c r="K16" s="2" t="n">
        <v>10</v>
      </c>
      <c r="L16" s="2" t="s">
        <v>15</v>
      </c>
      <c r="M16" s="2" t="s">
        <v>20</v>
      </c>
      <c r="N16" s="3" t="s">
        <v>60</v>
      </c>
      <c r="O16" s="3"/>
    </row>
    <row r="17" customFormat="false" ht="15" hidden="false" customHeight="false" outlineLevel="0" collapsed="false">
      <c r="A17" s="2" t="s">
        <v>15</v>
      </c>
      <c r="B17" s="3" t="s">
        <v>61</v>
      </c>
      <c r="C17" s="3" t="s">
        <v>37</v>
      </c>
      <c r="D17" s="3" t="s">
        <v>18</v>
      </c>
      <c r="E17" s="4" t="n">
        <v>108000</v>
      </c>
      <c r="F17" s="4" t="n">
        <v>86000</v>
      </c>
      <c r="G17" s="5" t="n">
        <f aca="false">IF(I17&lt;&gt;"",I17,ROUND(E17*(1-Ajustes!$B$3),-3))</f>
        <v>92000</v>
      </c>
      <c r="H17" s="5" t="n">
        <f aca="false">IF(F17="","",ROUND(F17*(1-Ajustes!$B$3),-3))</f>
        <v>73000</v>
      </c>
      <c r="I17" s="6"/>
      <c r="J17" s="2"/>
      <c r="K17" s="2" t="n">
        <v>10</v>
      </c>
      <c r="L17" s="2" t="s">
        <v>15</v>
      </c>
      <c r="M17" s="2" t="s">
        <v>20</v>
      </c>
      <c r="N17" s="3" t="s">
        <v>62</v>
      </c>
      <c r="O17" s="3" t="s">
        <v>39</v>
      </c>
    </row>
    <row r="18" customFormat="false" ht="15" hidden="false" customHeight="false" outlineLevel="0" collapsed="false">
      <c r="A18" s="2" t="s">
        <v>15</v>
      </c>
      <c r="B18" s="3" t="s">
        <v>63</v>
      </c>
      <c r="C18" s="3" t="s">
        <v>37</v>
      </c>
      <c r="D18" s="3" t="s">
        <v>18</v>
      </c>
      <c r="E18" s="4" t="n">
        <v>136000</v>
      </c>
      <c r="F18" s="4" t="n">
        <v>121000</v>
      </c>
      <c r="G18" s="5" t="n">
        <f aca="false">IF(I18&lt;&gt;"",I18,ROUND(E18*(1-Ajustes!$B$3),-3))</f>
        <v>116000</v>
      </c>
      <c r="H18" s="5" t="n">
        <f aca="false">IF(F18="","",ROUND(F18*(1-Ajustes!$B$3),-3))</f>
        <v>103000</v>
      </c>
      <c r="I18" s="6"/>
      <c r="J18" s="2"/>
      <c r="K18" s="2" t="n">
        <v>10</v>
      </c>
      <c r="L18" s="2" t="s">
        <v>15</v>
      </c>
      <c r="M18" s="2" t="s">
        <v>20</v>
      </c>
      <c r="N18" s="3" t="s">
        <v>64</v>
      </c>
      <c r="O18" s="3" t="s">
        <v>39</v>
      </c>
    </row>
    <row r="19" customFormat="false" ht="15" hidden="false" customHeight="false" outlineLevel="0" collapsed="false">
      <c r="A19" s="2" t="s">
        <v>15</v>
      </c>
      <c r="B19" s="3" t="s">
        <v>65</v>
      </c>
      <c r="C19" s="3" t="s">
        <v>37</v>
      </c>
      <c r="D19" s="3" t="s">
        <v>18</v>
      </c>
      <c r="E19" s="4" t="n">
        <v>160000</v>
      </c>
      <c r="F19" s="4" t="n">
        <v>137000</v>
      </c>
      <c r="G19" s="5" t="n">
        <f aca="false">IF(I19&lt;&gt;"",I19,ROUND(E19*(1-Ajustes!$B$3),-3))</f>
        <v>136000</v>
      </c>
      <c r="H19" s="5" t="n">
        <f aca="false">IF(F19="","",ROUND(F19*(1-Ajustes!$B$3),-3))</f>
        <v>116000</v>
      </c>
      <c r="I19" s="6"/>
      <c r="J19" s="2"/>
      <c r="K19" s="2" t="n">
        <v>10</v>
      </c>
      <c r="L19" s="2" t="s">
        <v>15</v>
      </c>
      <c r="M19" s="2" t="s">
        <v>20</v>
      </c>
      <c r="N19" s="3" t="s">
        <v>66</v>
      </c>
      <c r="O19" s="3" t="s">
        <v>39</v>
      </c>
    </row>
    <row r="20" customFormat="false" ht="15" hidden="false" customHeight="false" outlineLevel="0" collapsed="false">
      <c r="A20" s="2" t="s">
        <v>15</v>
      </c>
      <c r="B20" s="3" t="s">
        <v>67</v>
      </c>
      <c r="C20" s="3" t="s">
        <v>34</v>
      </c>
      <c r="D20" s="3" t="s">
        <v>18</v>
      </c>
      <c r="E20" s="4" t="n">
        <v>190000</v>
      </c>
      <c r="F20" s="4"/>
      <c r="G20" s="5" t="n">
        <f aca="false">IF(I20&lt;&gt;"",I20,ROUND(E20*(1-Ajustes!$B$3),-3))</f>
        <v>162000</v>
      </c>
      <c r="H20" s="5" t="str">
        <f aca="false">IF(F20="","",ROUND(F20*(1-Ajustes!$B$3),-3))</f>
        <v/>
      </c>
      <c r="I20" s="6"/>
      <c r="J20" s="2"/>
      <c r="K20" s="2" t="n">
        <v>10</v>
      </c>
      <c r="L20" s="2" t="s">
        <v>15</v>
      </c>
      <c r="M20" s="2" t="s">
        <v>20</v>
      </c>
      <c r="N20" s="3" t="s">
        <v>68</v>
      </c>
      <c r="O20" s="3"/>
    </row>
    <row r="21" customFormat="false" ht="15" hidden="false" customHeight="false" outlineLevel="0" collapsed="false">
      <c r="A21" s="2" t="s">
        <v>15</v>
      </c>
      <c r="B21" s="3" t="s">
        <v>69</v>
      </c>
      <c r="C21" s="3" t="s">
        <v>34</v>
      </c>
      <c r="D21" s="3" t="s">
        <v>25</v>
      </c>
      <c r="E21" s="4" t="n">
        <v>734000</v>
      </c>
      <c r="F21" s="4" t="n">
        <v>714000</v>
      </c>
      <c r="G21" s="5" t="n">
        <f aca="false">IF(I21&lt;&gt;"",I21,ROUND(E21*(1-Ajustes!$B$3),-3))</f>
        <v>624000</v>
      </c>
      <c r="H21" s="5" t="n">
        <f aca="false">IF(F21="","",ROUND(F21*(1-Ajustes!$B$3),-3))</f>
        <v>607000</v>
      </c>
      <c r="I21" s="6"/>
      <c r="J21" s="2"/>
      <c r="K21" s="2" t="n">
        <v>10</v>
      </c>
      <c r="L21" s="2" t="s">
        <v>20</v>
      </c>
      <c r="M21" s="2" t="s">
        <v>20</v>
      </c>
      <c r="N21" s="3" t="s">
        <v>70</v>
      </c>
      <c r="O21" s="3"/>
    </row>
    <row r="22" customFormat="false" ht="15" hidden="false" customHeight="false" outlineLevel="0" collapsed="false">
      <c r="A22" s="2" t="s">
        <v>15</v>
      </c>
      <c r="B22" s="3" t="s">
        <v>71</v>
      </c>
      <c r="C22" s="3" t="s">
        <v>24</v>
      </c>
      <c r="D22" s="3" t="s">
        <v>25</v>
      </c>
      <c r="E22" s="4" t="n">
        <v>480000</v>
      </c>
      <c r="F22" s="4" t="n">
        <v>444000</v>
      </c>
      <c r="G22" s="5" t="n">
        <f aca="false">IF(I22&lt;&gt;"",I22,ROUND(E22*(1-Ajustes!$B$3),-3))</f>
        <v>408000</v>
      </c>
      <c r="H22" s="5" t="n">
        <f aca="false">IF(F22="","",ROUND(F22*(1-Ajustes!$B$3),-3))</f>
        <v>377000</v>
      </c>
      <c r="I22" s="6"/>
      <c r="J22" s="2"/>
      <c r="K22" s="2" t="n">
        <v>10</v>
      </c>
      <c r="L22" s="2" t="s">
        <v>20</v>
      </c>
      <c r="M22" s="2" t="s">
        <v>20</v>
      </c>
      <c r="N22" s="3" t="s">
        <v>72</v>
      </c>
      <c r="O22" s="3"/>
    </row>
    <row r="23" customFormat="false" ht="15" hidden="false" customHeight="false" outlineLevel="0" collapsed="false">
      <c r="A23" s="2" t="s">
        <v>15</v>
      </c>
      <c r="B23" s="3" t="s">
        <v>73</v>
      </c>
      <c r="C23" s="3" t="s">
        <v>17</v>
      </c>
      <c r="D23" s="3" t="s">
        <v>25</v>
      </c>
      <c r="E23" s="4" t="n">
        <v>250000</v>
      </c>
      <c r="F23" s="4" t="n">
        <v>233000</v>
      </c>
      <c r="G23" s="5" t="n">
        <f aca="false">IF(I23&lt;&gt;"",I23,ROUND(E23*(1-Ajustes!$B$3),-3))</f>
        <v>213000</v>
      </c>
      <c r="H23" s="5" t="n">
        <f aca="false">IF(F23="","",ROUND(F23*(1-Ajustes!$B$3),-3))</f>
        <v>198000</v>
      </c>
      <c r="I23" s="6"/>
      <c r="J23" s="2"/>
      <c r="K23" s="2" t="n">
        <v>10</v>
      </c>
      <c r="L23" s="2" t="s">
        <v>20</v>
      </c>
      <c r="M23" s="2" t="s">
        <v>20</v>
      </c>
      <c r="N23" s="3" t="s">
        <v>74</v>
      </c>
      <c r="O23" s="3"/>
    </row>
    <row r="24" customFormat="false" ht="15" hidden="false" customHeight="false" outlineLevel="0" collapsed="false">
      <c r="A24" s="2" t="s">
        <v>15</v>
      </c>
      <c r="B24" s="3" t="s">
        <v>75</v>
      </c>
      <c r="C24" s="3" t="s">
        <v>17</v>
      </c>
      <c r="D24" s="3" t="s">
        <v>25</v>
      </c>
      <c r="E24" s="4" t="n">
        <v>540000</v>
      </c>
      <c r="F24" s="4" t="n">
        <v>512000</v>
      </c>
      <c r="G24" s="5" t="n">
        <f aca="false">IF(I24&lt;&gt;"",I24,ROUND(E24*(1-Ajustes!$B$3),-3))</f>
        <v>459000</v>
      </c>
      <c r="H24" s="5" t="n">
        <f aca="false">IF(F24="","",ROUND(F24*(1-Ajustes!$B$3),-3))</f>
        <v>435000</v>
      </c>
      <c r="I24" s="6"/>
      <c r="J24" s="2"/>
      <c r="K24" s="2" t="n">
        <v>10</v>
      </c>
      <c r="L24" s="2" t="s">
        <v>20</v>
      </c>
      <c r="M24" s="2" t="s">
        <v>20</v>
      </c>
      <c r="N24" s="3" t="s">
        <v>76</v>
      </c>
      <c r="O24" s="3"/>
    </row>
    <row r="25" customFormat="false" ht="15" hidden="false" customHeight="false" outlineLevel="0" collapsed="false">
      <c r="A25" s="2" t="s">
        <v>15</v>
      </c>
      <c r="B25" s="3" t="s">
        <v>77</v>
      </c>
      <c r="C25" s="3" t="s">
        <v>17</v>
      </c>
      <c r="D25" s="3" t="s">
        <v>25</v>
      </c>
      <c r="E25" s="4" t="n">
        <v>342000</v>
      </c>
      <c r="F25" s="4" t="n">
        <v>317000</v>
      </c>
      <c r="G25" s="5" t="n">
        <f aca="false">IF(I25&lt;&gt;"",I25,ROUND(E25*(1-Ajustes!$B$3),-3))</f>
        <v>291000</v>
      </c>
      <c r="H25" s="5" t="n">
        <f aca="false">IF(F25="","",ROUND(F25*(1-Ajustes!$B$3),-3))</f>
        <v>269000</v>
      </c>
      <c r="I25" s="6"/>
      <c r="J25" s="2"/>
      <c r="K25" s="2" t="n">
        <v>10</v>
      </c>
      <c r="L25" s="2" t="s">
        <v>20</v>
      </c>
      <c r="M25" s="2" t="s">
        <v>20</v>
      </c>
      <c r="N25" s="3" t="s">
        <v>78</v>
      </c>
      <c r="O25" s="3"/>
    </row>
    <row r="26" customFormat="false" ht="15" hidden="false" customHeight="false" outlineLevel="0" collapsed="false">
      <c r="A26" s="2" t="s">
        <v>15</v>
      </c>
      <c r="B26" s="3" t="s">
        <v>79</v>
      </c>
      <c r="C26" s="3" t="s">
        <v>80</v>
      </c>
      <c r="D26" s="3" t="s">
        <v>25</v>
      </c>
      <c r="E26" s="4" t="n">
        <v>360000</v>
      </c>
      <c r="F26" s="4" t="n">
        <v>342000</v>
      </c>
      <c r="G26" s="5" t="n">
        <f aca="false">IF(I26&lt;&gt;"",I26,ROUND(E26*(1-Ajustes!$B$3),-3))</f>
        <v>306000</v>
      </c>
      <c r="H26" s="5" t="n">
        <f aca="false">IF(F26="","",ROUND(F26*(1-Ajustes!$B$3),-3))</f>
        <v>291000</v>
      </c>
      <c r="I26" s="6"/>
      <c r="J26" s="2"/>
      <c r="K26" s="2" t="n">
        <v>10</v>
      </c>
      <c r="L26" s="2" t="s">
        <v>20</v>
      </c>
      <c r="M26" s="2" t="s">
        <v>20</v>
      </c>
      <c r="N26" s="3" t="s">
        <v>81</v>
      </c>
      <c r="O26" s="3"/>
    </row>
    <row r="27" customFormat="false" ht="15" hidden="false" customHeight="false" outlineLevel="0" collapsed="false">
      <c r="A27" s="2" t="s">
        <v>15</v>
      </c>
      <c r="B27" s="3" t="s">
        <v>82</v>
      </c>
      <c r="C27" s="3" t="s">
        <v>34</v>
      </c>
      <c r="D27" s="3" t="s">
        <v>29</v>
      </c>
      <c r="E27" s="4" t="n">
        <v>258000</v>
      </c>
      <c r="F27" s="4" t="n">
        <v>238000</v>
      </c>
      <c r="G27" s="5" t="n">
        <f aca="false">IF(I27&lt;&gt;"",I27,ROUND(E27*(1-Ajustes!$B$3),-3))</f>
        <v>219000</v>
      </c>
      <c r="H27" s="5" t="n">
        <f aca="false">IF(F27="","",ROUND(F27*(1-Ajustes!$B$3),-3))</f>
        <v>202000</v>
      </c>
      <c r="I27" s="6"/>
      <c r="J27" s="2"/>
      <c r="K27" s="2" t="n">
        <v>10</v>
      </c>
      <c r="L27" s="2" t="s">
        <v>20</v>
      </c>
      <c r="M27" s="2" t="s">
        <v>20</v>
      </c>
      <c r="N27" s="3" t="s">
        <v>83</v>
      </c>
      <c r="O27" s="3"/>
    </row>
    <row r="28" customFormat="false" ht="15" hidden="false" customHeight="false" outlineLevel="0" collapsed="false">
      <c r="A28" s="2" t="s">
        <v>15</v>
      </c>
      <c r="B28" s="3" t="s">
        <v>84</v>
      </c>
      <c r="C28" s="3" t="s">
        <v>37</v>
      </c>
      <c r="D28" s="3" t="s">
        <v>85</v>
      </c>
      <c r="E28" s="4" t="n">
        <v>98000</v>
      </c>
      <c r="F28" s="4"/>
      <c r="G28" s="5" t="n">
        <f aca="false">IF(I28&lt;&gt;"",I28,ROUND(E28*(1-Ajustes!$B$3),-3))</f>
        <v>83000</v>
      </c>
      <c r="H28" s="5" t="str">
        <f aca="false">IF(F28="","",ROUND(F28*(1-Ajustes!$B$3),-3))</f>
        <v/>
      </c>
      <c r="I28" s="6"/>
      <c r="J28" s="2"/>
      <c r="K28" s="2" t="n">
        <v>10</v>
      </c>
      <c r="L28" s="2" t="s">
        <v>20</v>
      </c>
      <c r="M28" s="2" t="s">
        <v>15</v>
      </c>
      <c r="N28" s="3" t="s">
        <v>86</v>
      </c>
      <c r="O28" s="3" t="s">
        <v>39</v>
      </c>
    </row>
    <row r="29" customFormat="false" ht="15" hidden="false" customHeight="false" outlineLevel="0" collapsed="false">
      <c r="A29" s="2" t="s">
        <v>15</v>
      </c>
      <c r="B29" s="3" t="s">
        <v>87</v>
      </c>
      <c r="C29" s="3" t="s">
        <v>37</v>
      </c>
      <c r="D29" s="3" t="s">
        <v>85</v>
      </c>
      <c r="E29" s="4" t="n">
        <v>155000</v>
      </c>
      <c r="F29" s="4" t="n">
        <v>130000</v>
      </c>
      <c r="G29" s="5" t="n">
        <f aca="false">IF(I29&lt;&gt;"",I29,ROUND(E29*(1-Ajustes!$B$3),-3))</f>
        <v>132000</v>
      </c>
      <c r="H29" s="5" t="n">
        <f aca="false">IF(F29="","",ROUND(F29*(1-Ajustes!$B$3),-3))</f>
        <v>111000</v>
      </c>
      <c r="I29" s="6"/>
      <c r="J29" s="2"/>
      <c r="K29" s="2" t="n">
        <v>10</v>
      </c>
      <c r="L29" s="2" t="s">
        <v>20</v>
      </c>
      <c r="M29" s="2" t="s">
        <v>15</v>
      </c>
      <c r="N29" s="3" t="s">
        <v>88</v>
      </c>
      <c r="O29" s="3" t="s">
        <v>39</v>
      </c>
    </row>
    <row r="30" customFormat="false" ht="15" hidden="false" customHeight="false" outlineLevel="0" collapsed="false">
      <c r="A30" s="2" t="s">
        <v>15</v>
      </c>
      <c r="B30" s="3" t="s">
        <v>89</v>
      </c>
      <c r="C30" s="3" t="s">
        <v>37</v>
      </c>
      <c r="D30" s="3" t="s">
        <v>25</v>
      </c>
      <c r="E30" s="4" t="n">
        <v>99000</v>
      </c>
      <c r="F30" s="4"/>
      <c r="G30" s="5" t="n">
        <f aca="false">IF(I30&lt;&gt;"",I30,ROUND(E30*(1-Ajustes!$B$3),-3))</f>
        <v>84000</v>
      </c>
      <c r="H30" s="5" t="str">
        <f aca="false">IF(F30="","",ROUND(F30*(1-Ajustes!$B$3),-3))</f>
        <v/>
      </c>
      <c r="I30" s="6"/>
      <c r="J30" s="2"/>
      <c r="K30" s="2" t="n">
        <v>10</v>
      </c>
      <c r="L30" s="2" t="s">
        <v>20</v>
      </c>
      <c r="M30" s="2" t="s">
        <v>15</v>
      </c>
      <c r="N30" s="3" t="s">
        <v>90</v>
      </c>
      <c r="O30" s="3" t="s">
        <v>39</v>
      </c>
    </row>
    <row r="31" customFormat="false" ht="15" hidden="false" customHeight="false" outlineLevel="0" collapsed="false">
      <c r="A31" s="2" t="s">
        <v>15</v>
      </c>
      <c r="B31" s="3" t="s">
        <v>91</v>
      </c>
      <c r="C31" s="3" t="s">
        <v>92</v>
      </c>
      <c r="D31" s="3" t="s">
        <v>18</v>
      </c>
      <c r="E31" s="4" t="n">
        <v>118000</v>
      </c>
      <c r="F31" s="4"/>
      <c r="G31" s="5" t="n">
        <f aca="false">IF(I31&lt;&gt;"",I31,ROUND(E31*(1-Ajustes!$B$3),-3))</f>
        <v>100000</v>
      </c>
      <c r="H31" s="5" t="str">
        <f aca="false">IF(F31="","",ROUND(F31*(1-Ajustes!$B$3),-3))</f>
        <v/>
      </c>
      <c r="I31" s="6"/>
      <c r="J31" s="2"/>
      <c r="K31" s="2" t="n">
        <v>10</v>
      </c>
      <c r="L31" s="2" t="s">
        <v>20</v>
      </c>
      <c r="M31" s="2" t="s">
        <v>15</v>
      </c>
      <c r="N31" s="3" t="s">
        <v>93</v>
      </c>
      <c r="O31" s="3"/>
    </row>
    <row r="32" customFormat="false" ht="15" hidden="false" customHeight="false" outlineLevel="0" collapsed="false">
      <c r="A32" s="2" t="s">
        <v>15</v>
      </c>
      <c r="B32" s="3" t="s">
        <v>94</v>
      </c>
      <c r="C32" s="3" t="s">
        <v>95</v>
      </c>
      <c r="D32" s="3" t="s">
        <v>85</v>
      </c>
      <c r="E32" s="4" t="n">
        <v>168000</v>
      </c>
      <c r="F32" s="4"/>
      <c r="G32" s="5" t="n">
        <f aca="false">IF(I32&lt;&gt;"",I32,ROUND(E32*(1-Ajustes!$B$3),-3))</f>
        <v>143000</v>
      </c>
      <c r="H32" s="5" t="str">
        <f aca="false">IF(F32="","",ROUND(F32*(1-Ajustes!$B$3),-3))</f>
        <v/>
      </c>
      <c r="I32" s="6"/>
      <c r="J32" s="2"/>
      <c r="K32" s="2" t="n">
        <v>10</v>
      </c>
      <c r="L32" s="2" t="s">
        <v>20</v>
      </c>
      <c r="M32" s="2" t="s">
        <v>15</v>
      </c>
      <c r="N32" s="3" t="s">
        <v>96</v>
      </c>
      <c r="O32" s="3"/>
    </row>
    <row r="33" customFormat="false" ht="15" hidden="false" customHeight="false" outlineLevel="0" collapsed="false">
      <c r="A33" s="2" t="s">
        <v>15</v>
      </c>
      <c r="B33" s="3" t="s">
        <v>97</v>
      </c>
      <c r="C33" s="3" t="s">
        <v>95</v>
      </c>
      <c r="D33" s="3" t="s">
        <v>85</v>
      </c>
      <c r="E33" s="4" t="n">
        <v>160000</v>
      </c>
      <c r="F33" s="4"/>
      <c r="G33" s="5" t="n">
        <f aca="false">IF(I33&lt;&gt;"",I33,ROUND(E33*(1-Ajustes!$B$3),-3))</f>
        <v>136000</v>
      </c>
      <c r="H33" s="5" t="str">
        <f aca="false">IF(F33="","",ROUND(F33*(1-Ajustes!$B$3),-3))</f>
        <v/>
      </c>
      <c r="I33" s="6"/>
      <c r="J33" s="2"/>
      <c r="K33" s="2" t="n">
        <v>10</v>
      </c>
      <c r="L33" s="2" t="s">
        <v>20</v>
      </c>
      <c r="M33" s="2" t="s">
        <v>15</v>
      </c>
      <c r="N33" s="3" t="s">
        <v>98</v>
      </c>
      <c r="O33" s="3"/>
    </row>
    <row r="34" customFormat="false" ht="15" hidden="false" customHeight="false" outlineLevel="0" collapsed="false">
      <c r="A34" s="2" t="s">
        <v>15</v>
      </c>
      <c r="B34" s="3" t="s">
        <v>99</v>
      </c>
      <c r="C34" s="3" t="s">
        <v>95</v>
      </c>
      <c r="D34" s="3" t="s">
        <v>85</v>
      </c>
      <c r="E34" s="4" t="n">
        <v>120000</v>
      </c>
      <c r="F34" s="4"/>
      <c r="G34" s="5" t="n">
        <f aca="false">IF(I34&lt;&gt;"",I34,ROUND(E34*(1-Ajustes!$B$3),-3))</f>
        <v>102000</v>
      </c>
      <c r="H34" s="5" t="str">
        <f aca="false">IF(F34="","",ROUND(F34*(1-Ajustes!$B$3),-3))</f>
        <v/>
      </c>
      <c r="I34" s="6"/>
      <c r="J34" s="2"/>
      <c r="K34" s="2" t="n">
        <v>10</v>
      </c>
      <c r="L34" s="2" t="s">
        <v>20</v>
      </c>
      <c r="M34" s="2" t="s">
        <v>15</v>
      </c>
      <c r="N34" s="3" t="s">
        <v>100</v>
      </c>
      <c r="O34" s="3"/>
    </row>
    <row r="35" customFormat="false" ht="15" hidden="false" customHeight="false" outlineLevel="0" collapsed="false">
      <c r="A35" s="2" t="s">
        <v>15</v>
      </c>
      <c r="B35" s="3" t="s">
        <v>101</v>
      </c>
      <c r="C35" s="3" t="s">
        <v>37</v>
      </c>
      <c r="D35" s="3" t="s">
        <v>59</v>
      </c>
      <c r="E35" s="4" t="n">
        <v>81000</v>
      </c>
      <c r="F35" s="4"/>
      <c r="G35" s="5" t="n">
        <f aca="false">IF(I35&lt;&gt;"",I35,ROUND(E35*(1-Ajustes!$B$3),-3))</f>
        <v>69000</v>
      </c>
      <c r="H35" s="5" t="str">
        <f aca="false">IF(F35="","",ROUND(F35*(1-Ajustes!$B$3),-3))</f>
        <v/>
      </c>
      <c r="I35" s="6"/>
      <c r="J35" s="2"/>
      <c r="K35" s="2" t="n">
        <v>10</v>
      </c>
      <c r="L35" s="2" t="s">
        <v>20</v>
      </c>
      <c r="M35" s="2" t="s">
        <v>15</v>
      </c>
      <c r="N35" s="3" t="s">
        <v>102</v>
      </c>
      <c r="O35" s="3" t="s">
        <v>39</v>
      </c>
    </row>
    <row r="36" customFormat="false" ht="15" hidden="false" customHeight="false" outlineLevel="0" collapsed="false">
      <c r="A36" s="2" t="s">
        <v>15</v>
      </c>
      <c r="B36" s="3" t="s">
        <v>103</v>
      </c>
      <c r="C36" s="3" t="s">
        <v>104</v>
      </c>
      <c r="D36" s="3" t="s">
        <v>18</v>
      </c>
      <c r="E36" s="4" t="n">
        <v>92000</v>
      </c>
      <c r="F36" s="4"/>
      <c r="G36" s="5" t="n">
        <f aca="false">IF(I36&lt;&gt;"",I36,ROUND(E36*(1-Ajustes!$B$3),-3))</f>
        <v>78000</v>
      </c>
      <c r="H36" s="5" t="str">
        <f aca="false">IF(F36="","",ROUND(F36*(1-Ajustes!$B$3),-3))</f>
        <v/>
      </c>
      <c r="I36" s="6"/>
      <c r="J36" s="2"/>
      <c r="K36" s="2" t="n">
        <v>10</v>
      </c>
      <c r="L36" s="2" t="s">
        <v>20</v>
      </c>
      <c r="M36" s="2" t="s">
        <v>15</v>
      </c>
      <c r="N36" s="3" t="s">
        <v>105</v>
      </c>
      <c r="O36" s="3"/>
    </row>
    <row r="37" customFormat="false" ht="15" hidden="false" customHeight="false" outlineLevel="0" collapsed="false">
      <c r="A37" s="2" t="s">
        <v>15</v>
      </c>
      <c r="B37" s="3" t="s">
        <v>106</v>
      </c>
      <c r="C37" s="3" t="s">
        <v>107</v>
      </c>
      <c r="D37" s="3" t="s">
        <v>18</v>
      </c>
      <c r="E37" s="4" t="n">
        <v>112000</v>
      </c>
      <c r="F37" s="4"/>
      <c r="G37" s="5" t="n">
        <f aca="false">IF(I37&lt;&gt;"",I37,ROUND(E37*(1-Ajustes!$B$3),-3))</f>
        <v>95000</v>
      </c>
      <c r="H37" s="5" t="str">
        <f aca="false">IF(F37="","",ROUND(F37*(1-Ajustes!$B$3),-3))</f>
        <v/>
      </c>
      <c r="I37" s="6"/>
      <c r="J37" s="2"/>
      <c r="K37" s="2" t="n">
        <v>10</v>
      </c>
      <c r="L37" s="2" t="s">
        <v>20</v>
      </c>
      <c r="M37" s="2" t="s">
        <v>15</v>
      </c>
      <c r="N37" s="3" t="s">
        <v>108</v>
      </c>
      <c r="O37" s="3"/>
    </row>
    <row r="38" customFormat="false" ht="15" hidden="false" customHeight="false" outlineLevel="0" collapsed="false">
      <c r="A38" s="2" t="s">
        <v>15</v>
      </c>
      <c r="B38" s="3" t="s">
        <v>109</v>
      </c>
      <c r="C38" s="3" t="s">
        <v>107</v>
      </c>
      <c r="D38" s="3" t="s">
        <v>18</v>
      </c>
      <c r="E38" s="4" t="n">
        <v>71000</v>
      </c>
      <c r="F38" s="4"/>
      <c r="G38" s="5" t="n">
        <f aca="false">IF(I38&lt;&gt;"",I38,ROUND(E38*(1-Ajustes!$B$3),-3))</f>
        <v>60000</v>
      </c>
      <c r="H38" s="5" t="str">
        <f aca="false">IF(F38="","",ROUND(F38*(1-Ajustes!$B$3),-3))</f>
        <v/>
      </c>
      <c r="I38" s="6"/>
      <c r="J38" s="2"/>
      <c r="K38" s="2" t="n">
        <v>10</v>
      </c>
      <c r="L38" s="2" t="s">
        <v>20</v>
      </c>
      <c r="M38" s="2" t="s">
        <v>15</v>
      </c>
      <c r="N38" s="3" t="s">
        <v>110</v>
      </c>
      <c r="O38" s="3"/>
    </row>
    <row r="39" customFormat="false" ht="15" hidden="false" customHeight="false" outlineLevel="0" collapsed="false">
      <c r="A39" s="2" t="s">
        <v>15</v>
      </c>
      <c r="B39" s="3" t="s">
        <v>111</v>
      </c>
      <c r="C39" s="3" t="s">
        <v>107</v>
      </c>
      <c r="D39" s="3" t="s">
        <v>18</v>
      </c>
      <c r="E39" s="4" t="n">
        <v>55000</v>
      </c>
      <c r="F39" s="4"/>
      <c r="G39" s="5" t="n">
        <f aca="false">IF(I39&lt;&gt;"",I39,ROUND(E39*(1-Ajustes!$B$3),-3))</f>
        <v>47000</v>
      </c>
      <c r="H39" s="5" t="str">
        <f aca="false">IF(F39="","",ROUND(F39*(1-Ajustes!$B$3),-3))</f>
        <v/>
      </c>
      <c r="I39" s="6"/>
      <c r="J39" s="2"/>
      <c r="K39" s="2" t="n">
        <v>10</v>
      </c>
      <c r="L39" s="2" t="s">
        <v>20</v>
      </c>
      <c r="M39" s="2" t="s">
        <v>15</v>
      </c>
      <c r="N39" s="3" t="s">
        <v>112</v>
      </c>
      <c r="O39" s="3"/>
    </row>
    <row r="40" customFormat="false" ht="15" hidden="false" customHeight="false" outlineLevel="0" collapsed="false">
      <c r="A40" s="2" t="s">
        <v>15</v>
      </c>
      <c r="B40" s="3" t="s">
        <v>113</v>
      </c>
      <c r="C40" s="3" t="s">
        <v>114</v>
      </c>
      <c r="D40" s="3" t="s">
        <v>59</v>
      </c>
      <c r="E40" s="4" t="n">
        <v>77000</v>
      </c>
      <c r="F40" s="4"/>
      <c r="G40" s="5" t="n">
        <f aca="false">IF(I40&lt;&gt;"",I40,ROUND(E40*(1-Ajustes!$B$3),-3))</f>
        <v>65000</v>
      </c>
      <c r="H40" s="5" t="str">
        <f aca="false">IF(F40="","",ROUND(F40*(1-Ajustes!$B$3),-3))</f>
        <v/>
      </c>
      <c r="I40" s="6"/>
      <c r="J40" s="2"/>
      <c r="K40" s="2" t="n">
        <v>10</v>
      </c>
      <c r="L40" s="2" t="s">
        <v>20</v>
      </c>
      <c r="M40" s="2" t="s">
        <v>15</v>
      </c>
      <c r="N40" s="3" t="s">
        <v>115</v>
      </c>
      <c r="O40" s="3"/>
    </row>
    <row r="41" customFormat="false" ht="15" hidden="false" customHeight="false" outlineLevel="0" collapsed="false">
      <c r="A41" s="2" t="s">
        <v>15</v>
      </c>
      <c r="B41" s="3" t="s">
        <v>116</v>
      </c>
      <c r="C41" s="3" t="s">
        <v>41</v>
      </c>
      <c r="D41" s="3" t="s">
        <v>25</v>
      </c>
      <c r="E41" s="4" t="n">
        <v>259000</v>
      </c>
      <c r="F41" s="4"/>
      <c r="G41" s="5" t="n">
        <f aca="false">IF(I41&lt;&gt;"",I41,ROUND(E41*(1-Ajustes!$B$3),-3))</f>
        <v>220000</v>
      </c>
      <c r="H41" s="5" t="str">
        <f aca="false">IF(F41="","",ROUND(F41*(1-Ajustes!$B$3),-3))</f>
        <v/>
      </c>
      <c r="I41" s="6"/>
      <c r="J41" s="2"/>
      <c r="K41" s="2" t="n">
        <v>10</v>
      </c>
      <c r="L41" s="2" t="s">
        <v>20</v>
      </c>
      <c r="M41" s="2" t="s">
        <v>15</v>
      </c>
      <c r="N41" s="3" t="s">
        <v>117</v>
      </c>
      <c r="O41" s="3"/>
    </row>
    <row r="42" customFormat="false" ht="15" hidden="false" customHeight="false" outlineLevel="0" collapsed="false">
      <c r="A42" s="2" t="s">
        <v>15</v>
      </c>
      <c r="B42" s="3" t="s">
        <v>118</v>
      </c>
      <c r="C42" s="3" t="s">
        <v>37</v>
      </c>
      <c r="D42" s="3" t="s">
        <v>119</v>
      </c>
      <c r="E42" s="4" t="n">
        <v>48000</v>
      </c>
      <c r="F42" s="4"/>
      <c r="G42" s="5" t="n">
        <f aca="false">IF(I42&lt;&gt;"",I42,ROUND(E42*(1-Ajustes!$B$3),-3))</f>
        <v>41000</v>
      </c>
      <c r="H42" s="5" t="str">
        <f aca="false">IF(F42="","",ROUND(F42*(1-Ajustes!$B$3),-3))</f>
        <v/>
      </c>
      <c r="I42" s="6"/>
      <c r="J42" s="2"/>
      <c r="K42" s="2" t="n">
        <v>10</v>
      </c>
      <c r="L42" s="2" t="s">
        <v>20</v>
      </c>
      <c r="M42" s="2" t="s">
        <v>15</v>
      </c>
      <c r="N42" s="3" t="s">
        <v>120</v>
      </c>
      <c r="O42" s="3" t="s">
        <v>39</v>
      </c>
    </row>
    <row r="43" customFormat="false" ht="15" hidden="false" customHeight="false" outlineLevel="0" collapsed="false">
      <c r="A43" s="2" t="s">
        <v>15</v>
      </c>
      <c r="B43" s="3" t="s">
        <v>121</v>
      </c>
      <c r="C43" s="3" t="s">
        <v>37</v>
      </c>
      <c r="D43" s="3" t="s">
        <v>119</v>
      </c>
      <c r="E43" s="4" t="n">
        <v>60000</v>
      </c>
      <c r="F43" s="4"/>
      <c r="G43" s="5" t="n">
        <f aca="false">IF(I43&lt;&gt;"",I43,ROUND(E43*(1-Ajustes!$B$3),-3))</f>
        <v>51000</v>
      </c>
      <c r="H43" s="5" t="str">
        <f aca="false">IF(F43="","",ROUND(F43*(1-Ajustes!$B$3),-3))</f>
        <v/>
      </c>
      <c r="I43" s="6"/>
      <c r="J43" s="2"/>
      <c r="K43" s="2" t="n">
        <v>10</v>
      </c>
      <c r="L43" s="2" t="s">
        <v>20</v>
      </c>
      <c r="M43" s="2" t="s">
        <v>15</v>
      </c>
      <c r="N43" s="3" t="s">
        <v>122</v>
      </c>
      <c r="O43" s="3" t="s">
        <v>39</v>
      </c>
    </row>
    <row r="44" customFormat="false" ht="15" hidden="false" customHeight="false" outlineLevel="0" collapsed="false">
      <c r="A44" s="2" t="s">
        <v>15</v>
      </c>
      <c r="B44" s="3" t="s">
        <v>123</v>
      </c>
      <c r="C44" s="3" t="s">
        <v>124</v>
      </c>
      <c r="D44" s="3" t="s">
        <v>59</v>
      </c>
      <c r="E44" s="4" t="n">
        <v>68000</v>
      </c>
      <c r="F44" s="4"/>
      <c r="G44" s="5" t="n">
        <f aca="false">IF(I44&lt;&gt;"",I44,ROUND(E44*(1-Ajustes!$B$3),-3))</f>
        <v>58000</v>
      </c>
      <c r="H44" s="5" t="str">
        <f aca="false">IF(F44="","",ROUND(F44*(1-Ajustes!$B$3),-3))</f>
        <v/>
      </c>
      <c r="I44" s="6"/>
      <c r="J44" s="2"/>
      <c r="K44" s="2" t="n">
        <v>10</v>
      </c>
      <c r="L44" s="2" t="s">
        <v>20</v>
      </c>
      <c r="M44" s="2" t="s">
        <v>15</v>
      </c>
      <c r="N44" s="3" t="s">
        <v>125</v>
      </c>
      <c r="O44" s="3"/>
    </row>
    <row r="45" customFormat="false" ht="15" hidden="false" customHeight="false" outlineLevel="0" collapsed="false">
      <c r="A45" s="2" t="s">
        <v>15</v>
      </c>
      <c r="B45" s="3" t="s">
        <v>126</v>
      </c>
      <c r="C45" s="3" t="s">
        <v>37</v>
      </c>
      <c r="D45" s="3" t="s">
        <v>85</v>
      </c>
      <c r="E45" s="4" t="n">
        <v>68000</v>
      </c>
      <c r="F45" s="4"/>
      <c r="G45" s="5" t="n">
        <f aca="false">IF(I45&lt;&gt;"",I45,ROUND(E45*(1-Ajustes!$B$3),-3))</f>
        <v>58000</v>
      </c>
      <c r="H45" s="5" t="str">
        <f aca="false">IF(F45="","",ROUND(F45*(1-Ajustes!$B$3),-3))</f>
        <v/>
      </c>
      <c r="I45" s="6"/>
      <c r="J45" s="2"/>
      <c r="K45" s="2" t="n">
        <v>10</v>
      </c>
      <c r="L45" s="2" t="s">
        <v>20</v>
      </c>
      <c r="M45" s="2" t="s">
        <v>15</v>
      </c>
      <c r="N45" s="3" t="s">
        <v>127</v>
      </c>
      <c r="O45" s="3" t="s">
        <v>39</v>
      </c>
    </row>
    <row r="46" customFormat="false" ht="15" hidden="false" customHeight="false" outlineLevel="0" collapsed="false">
      <c r="A46" s="2" t="s">
        <v>15</v>
      </c>
      <c r="B46" s="3" t="s">
        <v>128</v>
      </c>
      <c r="C46" s="3" t="s">
        <v>129</v>
      </c>
      <c r="D46" s="3" t="s">
        <v>29</v>
      </c>
      <c r="E46" s="4" t="n">
        <v>61000</v>
      </c>
      <c r="F46" s="4"/>
      <c r="G46" s="5" t="n">
        <f aca="false">IF(I46&lt;&gt;"",I46,ROUND(E46*(1-Ajustes!$B$3),-3))</f>
        <v>52000</v>
      </c>
      <c r="H46" s="5" t="str">
        <f aca="false">IF(F46="","",ROUND(F46*(1-Ajustes!$B$3),-3))</f>
        <v/>
      </c>
      <c r="I46" s="6"/>
      <c r="J46" s="2"/>
      <c r="K46" s="2" t="n">
        <v>10</v>
      </c>
      <c r="L46" s="2" t="s">
        <v>20</v>
      </c>
      <c r="M46" s="2" t="s">
        <v>15</v>
      </c>
      <c r="N46" s="3" t="s">
        <v>130</v>
      </c>
      <c r="O46" s="3"/>
    </row>
    <row r="47" customFormat="false" ht="15" hidden="false" customHeight="false" outlineLevel="0" collapsed="false">
      <c r="A47" s="2" t="s">
        <v>15</v>
      </c>
      <c r="B47" s="3" t="s">
        <v>131</v>
      </c>
      <c r="C47" s="3" t="s">
        <v>124</v>
      </c>
      <c r="D47" s="3" t="s">
        <v>59</v>
      </c>
      <c r="E47" s="4" t="n">
        <v>65000</v>
      </c>
      <c r="F47" s="4"/>
      <c r="G47" s="5" t="n">
        <f aca="false">IF(I47&lt;&gt;"",I47,ROUND(E47*(1-Ajustes!$B$3),-3))</f>
        <v>55000</v>
      </c>
      <c r="H47" s="5" t="str">
        <f aca="false">IF(F47="","",ROUND(F47*(1-Ajustes!$B$3),-3))</f>
        <v/>
      </c>
      <c r="I47" s="6"/>
      <c r="J47" s="2"/>
      <c r="K47" s="2" t="n">
        <v>10</v>
      </c>
      <c r="L47" s="2" t="s">
        <v>20</v>
      </c>
      <c r="M47" s="2" t="s">
        <v>15</v>
      </c>
      <c r="N47" s="3" t="s">
        <v>132</v>
      </c>
      <c r="O47" s="3"/>
    </row>
    <row r="48" customFormat="false" ht="15" hidden="false" customHeight="false" outlineLevel="0" collapsed="false">
      <c r="A48" s="2" t="s">
        <v>15</v>
      </c>
      <c r="B48" s="3" t="s">
        <v>133</v>
      </c>
      <c r="C48" s="3" t="s">
        <v>134</v>
      </c>
      <c r="D48" s="3" t="s">
        <v>18</v>
      </c>
      <c r="E48" s="4" t="n">
        <v>165000</v>
      </c>
      <c r="F48" s="4"/>
      <c r="G48" s="5" t="n">
        <f aca="false">IF(I48&lt;&gt;"",I48,ROUND(E48*(1-Ajustes!$B$3),-3))</f>
        <v>140000</v>
      </c>
      <c r="H48" s="5" t="str">
        <f aca="false">IF(F48="","",ROUND(F48*(1-Ajustes!$B$3),-3))</f>
        <v/>
      </c>
      <c r="I48" s="6"/>
      <c r="J48" s="2"/>
      <c r="K48" s="2" t="n">
        <v>10</v>
      </c>
      <c r="L48" s="2" t="s">
        <v>20</v>
      </c>
      <c r="M48" s="2" t="s">
        <v>15</v>
      </c>
      <c r="N48" s="3" t="s">
        <v>135</v>
      </c>
      <c r="O48" s="3"/>
    </row>
    <row r="49" customFormat="false" ht="15" hidden="false" customHeight="false" outlineLevel="0" collapsed="false">
      <c r="A49" s="2" t="s">
        <v>15</v>
      </c>
      <c r="B49" s="3" t="s">
        <v>136</v>
      </c>
      <c r="C49" s="3" t="s">
        <v>37</v>
      </c>
      <c r="D49" s="3" t="s">
        <v>18</v>
      </c>
      <c r="E49" s="4" t="n">
        <v>68000</v>
      </c>
      <c r="F49" s="4"/>
      <c r="G49" s="5" t="n">
        <f aca="false">IF(I49&lt;&gt;"",I49,ROUND(E49*(1-Ajustes!$B$3),-3))</f>
        <v>58000</v>
      </c>
      <c r="H49" s="5" t="str">
        <f aca="false">IF(F49="","",ROUND(F49*(1-Ajustes!$B$3),-3))</f>
        <v/>
      </c>
      <c r="I49" s="6"/>
      <c r="J49" s="2"/>
      <c r="K49" s="2" t="n">
        <v>10</v>
      </c>
      <c r="L49" s="2" t="s">
        <v>20</v>
      </c>
      <c r="M49" s="2" t="s">
        <v>15</v>
      </c>
      <c r="N49" s="3" t="s">
        <v>137</v>
      </c>
      <c r="O49" s="3" t="s">
        <v>39</v>
      </c>
    </row>
    <row r="50" customFormat="false" ht="15" hidden="false" customHeight="false" outlineLevel="0" collapsed="false">
      <c r="A50" s="2" t="s">
        <v>15</v>
      </c>
      <c r="B50" s="3" t="s">
        <v>138</v>
      </c>
      <c r="C50" s="3" t="s">
        <v>37</v>
      </c>
      <c r="D50" s="3" t="s">
        <v>85</v>
      </c>
      <c r="E50" s="4" t="n">
        <v>71000</v>
      </c>
      <c r="F50" s="4"/>
      <c r="G50" s="5" t="n">
        <f aca="false">IF(I50&lt;&gt;"",I50,ROUND(E50*(1-Ajustes!$B$3),-3))</f>
        <v>60000</v>
      </c>
      <c r="H50" s="5" t="str">
        <f aca="false">IF(F50="","",ROUND(F50*(1-Ajustes!$B$3),-3))</f>
        <v/>
      </c>
      <c r="I50" s="6"/>
      <c r="J50" s="2"/>
      <c r="K50" s="2" t="n">
        <v>10</v>
      </c>
      <c r="L50" s="2" t="s">
        <v>20</v>
      </c>
      <c r="M50" s="2" t="s">
        <v>15</v>
      </c>
      <c r="N50" s="3" t="s">
        <v>139</v>
      </c>
      <c r="O50" s="3" t="s">
        <v>39</v>
      </c>
    </row>
    <row r="51" customFormat="false" ht="15" hidden="false" customHeight="false" outlineLevel="0" collapsed="false">
      <c r="A51" s="2" t="s">
        <v>15</v>
      </c>
      <c r="B51" s="3" t="s">
        <v>140</v>
      </c>
      <c r="C51" s="3" t="s">
        <v>141</v>
      </c>
      <c r="D51" s="3" t="s">
        <v>18</v>
      </c>
      <c r="E51" s="4" t="n">
        <v>105000</v>
      </c>
      <c r="F51" s="4"/>
      <c r="G51" s="5" t="n">
        <f aca="false">IF(I51&lt;&gt;"",I51,ROUND(E51*(1-Ajustes!$B$3),-3))</f>
        <v>89000</v>
      </c>
      <c r="H51" s="5" t="str">
        <f aca="false">IF(F51="","",ROUND(F51*(1-Ajustes!$B$3),-3))</f>
        <v/>
      </c>
      <c r="I51" s="6"/>
      <c r="J51" s="2"/>
      <c r="K51" s="2" t="n">
        <v>10</v>
      </c>
      <c r="L51" s="2" t="s">
        <v>20</v>
      </c>
      <c r="M51" s="2" t="s">
        <v>15</v>
      </c>
      <c r="N51" s="3" t="s">
        <v>142</v>
      </c>
      <c r="O51" s="3"/>
    </row>
    <row r="52" customFormat="false" ht="15" hidden="false" customHeight="false" outlineLevel="0" collapsed="false">
      <c r="A52" s="2" t="s">
        <v>15</v>
      </c>
      <c r="B52" s="3" t="s">
        <v>143</v>
      </c>
      <c r="C52" s="3" t="s">
        <v>37</v>
      </c>
      <c r="D52" s="3" t="s">
        <v>144</v>
      </c>
      <c r="E52" s="4" t="n">
        <v>118000</v>
      </c>
      <c r="F52" s="4"/>
      <c r="G52" s="5" t="n">
        <f aca="false">IF(I52&lt;&gt;"",I52,ROUND(E52*(1-Ajustes!$B$3),-3))</f>
        <v>100000</v>
      </c>
      <c r="H52" s="5" t="str">
        <f aca="false">IF(F52="","",ROUND(F52*(1-Ajustes!$B$3),-3))</f>
        <v/>
      </c>
      <c r="I52" s="6"/>
      <c r="J52" s="2"/>
      <c r="K52" s="2" t="n">
        <v>10</v>
      </c>
      <c r="L52" s="2" t="s">
        <v>20</v>
      </c>
      <c r="M52" s="2" t="s">
        <v>15</v>
      </c>
      <c r="N52" s="3" t="s">
        <v>145</v>
      </c>
      <c r="O52" s="3" t="s">
        <v>39</v>
      </c>
    </row>
    <row r="53" customFormat="false" ht="15" hidden="false" customHeight="false" outlineLevel="0" collapsed="false">
      <c r="A53" s="2" t="s">
        <v>15</v>
      </c>
      <c r="B53" s="3" t="s">
        <v>146</v>
      </c>
      <c r="C53" s="3" t="s">
        <v>37</v>
      </c>
      <c r="D53" s="3" t="s">
        <v>25</v>
      </c>
      <c r="E53" s="4" t="n">
        <v>49000</v>
      </c>
      <c r="F53" s="4"/>
      <c r="G53" s="5" t="n">
        <f aca="false">IF(I53&lt;&gt;"",I53,ROUND(E53*(1-Ajustes!$B$3),-3))</f>
        <v>42000</v>
      </c>
      <c r="H53" s="5" t="str">
        <f aca="false">IF(F53="","",ROUND(F53*(1-Ajustes!$B$3),-3))</f>
        <v/>
      </c>
      <c r="I53" s="6"/>
      <c r="J53" s="2"/>
      <c r="K53" s="2" t="n">
        <v>10</v>
      </c>
      <c r="L53" s="2" t="s">
        <v>20</v>
      </c>
      <c r="M53" s="2" t="s">
        <v>15</v>
      </c>
      <c r="N53" s="3" t="s">
        <v>147</v>
      </c>
      <c r="O53" s="3" t="s">
        <v>39</v>
      </c>
    </row>
    <row r="54" customFormat="false" ht="15" hidden="false" customHeight="false" outlineLevel="0" collapsed="false">
      <c r="A54" s="2" t="s">
        <v>15</v>
      </c>
      <c r="B54" s="3" t="s">
        <v>148</v>
      </c>
      <c r="C54" s="3" t="s">
        <v>149</v>
      </c>
      <c r="D54" s="3" t="s">
        <v>25</v>
      </c>
      <c r="E54" s="4" t="n">
        <v>227000</v>
      </c>
      <c r="F54" s="4"/>
      <c r="G54" s="5" t="n">
        <f aca="false">IF(I54&lt;&gt;"",I54,ROUND(E54*(1-Ajustes!$B$3),-3))</f>
        <v>193000</v>
      </c>
      <c r="H54" s="5" t="str">
        <f aca="false">IF(F54="","",ROUND(F54*(1-Ajustes!$B$3),-3))</f>
        <v/>
      </c>
      <c r="I54" s="6"/>
      <c r="J54" s="2"/>
      <c r="K54" s="2" t="n">
        <v>10</v>
      </c>
      <c r="L54" s="2" t="s">
        <v>20</v>
      </c>
      <c r="M54" s="2" t="s">
        <v>15</v>
      </c>
      <c r="N54" s="3" t="s">
        <v>150</v>
      </c>
      <c r="O54" s="3"/>
    </row>
    <row r="55" customFormat="false" ht="15" hidden="false" customHeight="false" outlineLevel="0" collapsed="false">
      <c r="A55" s="2" t="s">
        <v>15</v>
      </c>
      <c r="B55" s="3" t="s">
        <v>151</v>
      </c>
      <c r="C55" s="3" t="s">
        <v>149</v>
      </c>
      <c r="D55" s="3" t="s">
        <v>25</v>
      </c>
      <c r="E55" s="4" t="n">
        <v>337000</v>
      </c>
      <c r="F55" s="4"/>
      <c r="G55" s="5" t="n">
        <f aca="false">IF(I55&lt;&gt;"",I55,ROUND(E55*(1-Ajustes!$B$3),-3))</f>
        <v>286000</v>
      </c>
      <c r="H55" s="5" t="str">
        <f aca="false">IF(F55="","",ROUND(F55*(1-Ajustes!$B$3),-3))</f>
        <v/>
      </c>
      <c r="I55" s="6"/>
      <c r="J55" s="2"/>
      <c r="K55" s="2" t="n">
        <v>10</v>
      </c>
      <c r="L55" s="2" t="s">
        <v>20</v>
      </c>
      <c r="M55" s="2" t="s">
        <v>15</v>
      </c>
      <c r="N55" s="3" t="s">
        <v>152</v>
      </c>
      <c r="O55" s="3"/>
    </row>
    <row r="56" customFormat="false" ht="15" hidden="false" customHeight="false" outlineLevel="0" collapsed="false">
      <c r="A56" s="2" t="s">
        <v>15</v>
      </c>
      <c r="B56" s="3" t="s">
        <v>153</v>
      </c>
      <c r="C56" s="3" t="s">
        <v>149</v>
      </c>
      <c r="D56" s="3" t="s">
        <v>59</v>
      </c>
      <c r="E56" s="4" t="n">
        <v>191000</v>
      </c>
      <c r="F56" s="4"/>
      <c r="G56" s="5" t="n">
        <f aca="false">IF(I56&lt;&gt;"",I56,ROUND(E56*(1-Ajustes!$B$3),-3))</f>
        <v>162000</v>
      </c>
      <c r="H56" s="5" t="str">
        <f aca="false">IF(F56="","",ROUND(F56*(1-Ajustes!$B$3),-3))</f>
        <v/>
      </c>
      <c r="I56" s="6"/>
      <c r="J56" s="2"/>
      <c r="K56" s="2" t="n">
        <v>10</v>
      </c>
      <c r="L56" s="2" t="s">
        <v>20</v>
      </c>
      <c r="M56" s="2" t="s">
        <v>15</v>
      </c>
      <c r="N56" s="3" t="s">
        <v>154</v>
      </c>
      <c r="O56" s="3"/>
    </row>
    <row r="57" customFormat="false" ht="15" hidden="false" customHeight="false" outlineLevel="0" collapsed="false">
      <c r="A57" s="2" t="s">
        <v>15</v>
      </c>
      <c r="B57" s="3" t="s">
        <v>155</v>
      </c>
      <c r="C57" s="3" t="s">
        <v>149</v>
      </c>
      <c r="D57" s="3" t="s">
        <v>25</v>
      </c>
      <c r="E57" s="4" t="n">
        <v>314000</v>
      </c>
      <c r="F57" s="4"/>
      <c r="G57" s="5" t="n">
        <f aca="false">IF(I57&lt;&gt;"",I57,ROUND(E57*(1-Ajustes!$B$3),-3))</f>
        <v>267000</v>
      </c>
      <c r="H57" s="5" t="str">
        <f aca="false">IF(F57="","",ROUND(F57*(1-Ajustes!$B$3),-3))</f>
        <v/>
      </c>
      <c r="I57" s="6"/>
      <c r="J57" s="2"/>
      <c r="K57" s="2" t="n">
        <v>10</v>
      </c>
      <c r="L57" s="2" t="s">
        <v>20</v>
      </c>
      <c r="M57" s="2" t="s">
        <v>15</v>
      </c>
      <c r="N57" s="3" t="s">
        <v>156</v>
      </c>
      <c r="O57" s="3"/>
    </row>
    <row r="58" customFormat="false" ht="15" hidden="false" customHeight="false" outlineLevel="0" collapsed="false">
      <c r="A58" s="2" t="s">
        <v>15</v>
      </c>
      <c r="B58" s="3" t="s">
        <v>157</v>
      </c>
      <c r="C58" s="3" t="s">
        <v>149</v>
      </c>
      <c r="D58" s="3" t="s">
        <v>18</v>
      </c>
      <c r="E58" s="4" t="n">
        <v>135000</v>
      </c>
      <c r="F58" s="4"/>
      <c r="G58" s="5" t="n">
        <f aca="false">IF(I58&lt;&gt;"",I58,ROUND(E58*(1-Ajustes!$B$3),-3))</f>
        <v>115000</v>
      </c>
      <c r="H58" s="5" t="str">
        <f aca="false">IF(F58="","",ROUND(F58*(1-Ajustes!$B$3),-3))</f>
        <v/>
      </c>
      <c r="I58" s="6"/>
      <c r="J58" s="2"/>
      <c r="K58" s="2" t="n">
        <v>10</v>
      </c>
      <c r="L58" s="2" t="s">
        <v>20</v>
      </c>
      <c r="M58" s="2" t="s">
        <v>15</v>
      </c>
      <c r="N58" s="3" t="s">
        <v>158</v>
      </c>
      <c r="O58" s="3"/>
    </row>
    <row r="59" customFormat="false" ht="15" hidden="false" customHeight="false" outlineLevel="0" collapsed="false">
      <c r="A59" s="2" t="s">
        <v>15</v>
      </c>
      <c r="B59" s="3" t="s">
        <v>159</v>
      </c>
      <c r="C59" s="3" t="s">
        <v>124</v>
      </c>
      <c r="D59" s="3" t="s">
        <v>59</v>
      </c>
      <c r="E59" s="4" t="n">
        <v>56000</v>
      </c>
      <c r="F59" s="4"/>
      <c r="G59" s="5" t="n">
        <f aca="false">IF(I59&lt;&gt;"",I59,ROUND(E59*(1-Ajustes!$B$3),-3))</f>
        <v>48000</v>
      </c>
      <c r="H59" s="5" t="str">
        <f aca="false">IF(F59="","",ROUND(F59*(1-Ajustes!$B$3),-3))</f>
        <v/>
      </c>
      <c r="I59" s="6"/>
      <c r="J59" s="2"/>
      <c r="K59" s="2" t="n">
        <v>10</v>
      </c>
      <c r="L59" s="2" t="s">
        <v>20</v>
      </c>
      <c r="M59" s="2" t="s">
        <v>15</v>
      </c>
      <c r="N59" s="3" t="s">
        <v>160</v>
      </c>
      <c r="O59" s="3"/>
    </row>
    <row r="60" customFormat="false" ht="15" hidden="false" customHeight="false" outlineLevel="0" collapsed="false">
      <c r="A60" s="2" t="s">
        <v>15</v>
      </c>
      <c r="B60" s="3" t="s">
        <v>161</v>
      </c>
      <c r="C60" s="3" t="s">
        <v>124</v>
      </c>
      <c r="D60" s="3" t="s">
        <v>59</v>
      </c>
      <c r="E60" s="4" t="n">
        <v>62000</v>
      </c>
      <c r="F60" s="4"/>
      <c r="G60" s="5" t="n">
        <f aca="false">IF(I60&lt;&gt;"",I60,ROUND(E60*(1-Ajustes!$B$3),-3))</f>
        <v>53000</v>
      </c>
      <c r="H60" s="5" t="str">
        <f aca="false">IF(F60="","",ROUND(F60*(1-Ajustes!$B$3),-3))</f>
        <v/>
      </c>
      <c r="I60" s="6"/>
      <c r="J60" s="2"/>
      <c r="K60" s="2" t="n">
        <v>10</v>
      </c>
      <c r="L60" s="2" t="s">
        <v>20</v>
      </c>
      <c r="M60" s="2" t="s">
        <v>15</v>
      </c>
      <c r="N60" s="3" t="s">
        <v>162</v>
      </c>
      <c r="O60" s="3"/>
    </row>
    <row r="61" customFormat="false" ht="15" hidden="false" customHeight="false" outlineLevel="0" collapsed="false">
      <c r="A61" s="2" t="s">
        <v>15</v>
      </c>
      <c r="B61" s="3" t="s">
        <v>163</v>
      </c>
      <c r="C61" s="3" t="s">
        <v>37</v>
      </c>
      <c r="D61" s="3" t="s">
        <v>119</v>
      </c>
      <c r="E61" s="4" t="n">
        <v>72000</v>
      </c>
      <c r="F61" s="4"/>
      <c r="G61" s="5" t="n">
        <f aca="false">IF(I61&lt;&gt;"",I61,ROUND(E61*(1-Ajustes!$B$3),-3))</f>
        <v>61000</v>
      </c>
      <c r="H61" s="5" t="str">
        <f aca="false">IF(F61="","",ROUND(F61*(1-Ajustes!$B$3),-3))</f>
        <v/>
      </c>
      <c r="I61" s="6"/>
      <c r="J61" s="2"/>
      <c r="K61" s="2" t="n">
        <v>10</v>
      </c>
      <c r="L61" s="2" t="s">
        <v>20</v>
      </c>
      <c r="M61" s="2" t="s">
        <v>15</v>
      </c>
      <c r="N61" s="3" t="s">
        <v>164</v>
      </c>
      <c r="O61" s="3" t="s">
        <v>39</v>
      </c>
    </row>
    <row r="62" customFormat="false" ht="15" hidden="false" customHeight="false" outlineLevel="0" collapsed="false">
      <c r="A62" s="2" t="s">
        <v>15</v>
      </c>
      <c r="B62" s="3" t="s">
        <v>165</v>
      </c>
      <c r="C62" s="3" t="s">
        <v>37</v>
      </c>
      <c r="D62" s="3" t="s">
        <v>119</v>
      </c>
      <c r="E62" s="4" t="n">
        <v>68000</v>
      </c>
      <c r="F62" s="4"/>
      <c r="G62" s="5" t="n">
        <f aca="false">IF(I62&lt;&gt;"",I62,ROUND(E62*(1-Ajustes!$B$3),-3))</f>
        <v>58000</v>
      </c>
      <c r="H62" s="5" t="str">
        <f aca="false">IF(F62="","",ROUND(F62*(1-Ajustes!$B$3),-3))</f>
        <v/>
      </c>
      <c r="I62" s="6"/>
      <c r="J62" s="2"/>
      <c r="K62" s="2" t="n">
        <v>10</v>
      </c>
      <c r="L62" s="2" t="s">
        <v>20</v>
      </c>
      <c r="M62" s="2" t="s">
        <v>15</v>
      </c>
      <c r="N62" s="3" t="s">
        <v>166</v>
      </c>
      <c r="O62" s="3" t="s">
        <v>39</v>
      </c>
    </row>
    <row r="63" customFormat="false" ht="15" hidden="false" customHeight="false" outlineLevel="0" collapsed="false">
      <c r="A63" s="2" t="s">
        <v>15</v>
      </c>
      <c r="B63" s="3" t="s">
        <v>167</v>
      </c>
      <c r="C63" s="3" t="s">
        <v>17</v>
      </c>
      <c r="D63" s="3" t="s">
        <v>168</v>
      </c>
      <c r="E63" s="4" t="n">
        <v>161000</v>
      </c>
      <c r="F63" s="4"/>
      <c r="G63" s="5" t="n">
        <f aca="false">IF(I63&lt;&gt;"",I63,ROUND(E63*(1-Ajustes!$B$3),-3))</f>
        <v>137000</v>
      </c>
      <c r="H63" s="5" t="str">
        <f aca="false">IF(F63="","",ROUND(F63*(1-Ajustes!$B$3),-3))</f>
        <v/>
      </c>
      <c r="I63" s="6"/>
      <c r="J63" s="2"/>
      <c r="K63" s="2" t="n">
        <v>10</v>
      </c>
      <c r="L63" s="2" t="s">
        <v>20</v>
      </c>
      <c r="M63" s="2" t="s">
        <v>15</v>
      </c>
      <c r="N63" s="3" t="s">
        <v>169</v>
      </c>
      <c r="O63" s="3"/>
    </row>
    <row r="64" customFormat="false" ht="15" hidden="false" customHeight="false" outlineLevel="0" collapsed="false">
      <c r="A64" s="2" t="s">
        <v>15</v>
      </c>
      <c r="B64" s="3" t="s">
        <v>170</v>
      </c>
      <c r="C64" s="3" t="s">
        <v>37</v>
      </c>
      <c r="D64" s="3" t="s">
        <v>85</v>
      </c>
      <c r="E64" s="4" t="n">
        <v>88000</v>
      </c>
      <c r="F64" s="4"/>
      <c r="G64" s="5" t="n">
        <f aca="false">IF(I64&lt;&gt;"",I64,ROUND(E64*(1-Ajustes!$B$3),-3))</f>
        <v>75000</v>
      </c>
      <c r="H64" s="5" t="str">
        <f aca="false">IF(F64="","",ROUND(F64*(1-Ajustes!$B$3),-3))</f>
        <v/>
      </c>
      <c r="I64" s="6"/>
      <c r="J64" s="2"/>
      <c r="K64" s="2" t="n">
        <v>10</v>
      </c>
      <c r="L64" s="2" t="s">
        <v>20</v>
      </c>
      <c r="M64" s="2" t="s">
        <v>15</v>
      </c>
      <c r="N64" s="3" t="s">
        <v>171</v>
      </c>
      <c r="O64" s="3" t="s">
        <v>39</v>
      </c>
    </row>
    <row r="65" customFormat="false" ht="15" hidden="false" customHeight="false" outlineLevel="0" collapsed="false">
      <c r="A65" s="2" t="s">
        <v>15</v>
      </c>
      <c r="B65" s="3" t="s">
        <v>172</v>
      </c>
      <c r="C65" s="3" t="s">
        <v>28</v>
      </c>
      <c r="D65" s="3" t="s">
        <v>59</v>
      </c>
      <c r="E65" s="4" t="n">
        <v>64000</v>
      </c>
      <c r="F65" s="4"/>
      <c r="G65" s="5" t="n">
        <f aca="false">IF(I65&lt;&gt;"",I65,ROUND(E65*(1-Ajustes!$B$3),-3))</f>
        <v>54000</v>
      </c>
      <c r="H65" s="5" t="str">
        <f aca="false">IF(F65="","",ROUND(F65*(1-Ajustes!$B$3),-3))</f>
        <v/>
      </c>
      <c r="I65" s="6"/>
      <c r="J65" s="2"/>
      <c r="K65" s="2" t="n">
        <v>10</v>
      </c>
      <c r="L65" s="2" t="s">
        <v>20</v>
      </c>
      <c r="M65" s="2" t="s">
        <v>15</v>
      </c>
      <c r="N65" s="3" t="s">
        <v>173</v>
      </c>
      <c r="O65" s="3"/>
    </row>
    <row r="66" customFormat="false" ht="15" hidden="false" customHeight="false" outlineLevel="0" collapsed="false">
      <c r="A66" s="2" t="s">
        <v>15</v>
      </c>
      <c r="B66" s="3" t="s">
        <v>174</v>
      </c>
      <c r="C66" s="3" t="s">
        <v>28</v>
      </c>
      <c r="D66" s="3" t="s">
        <v>18</v>
      </c>
      <c r="E66" s="4" t="n">
        <v>88000</v>
      </c>
      <c r="F66" s="4"/>
      <c r="G66" s="5" t="n">
        <f aca="false">IF(I66&lt;&gt;"",I66,ROUND(E66*(1-Ajustes!$B$3),-3))</f>
        <v>75000</v>
      </c>
      <c r="H66" s="5" t="str">
        <f aca="false">IF(F66="","",ROUND(F66*(1-Ajustes!$B$3),-3))</f>
        <v/>
      </c>
      <c r="I66" s="6"/>
      <c r="J66" s="2"/>
      <c r="K66" s="2" t="n">
        <v>10</v>
      </c>
      <c r="L66" s="2" t="s">
        <v>20</v>
      </c>
      <c r="M66" s="2" t="s">
        <v>15</v>
      </c>
      <c r="N66" s="3" t="s">
        <v>175</v>
      </c>
      <c r="O66" s="3"/>
    </row>
    <row r="67" customFormat="false" ht="15" hidden="false" customHeight="false" outlineLevel="0" collapsed="false">
      <c r="A67" s="2" t="s">
        <v>15</v>
      </c>
      <c r="B67" s="3" t="s">
        <v>176</v>
      </c>
      <c r="C67" s="3" t="s">
        <v>28</v>
      </c>
      <c r="D67" s="3" t="s">
        <v>18</v>
      </c>
      <c r="E67" s="4" t="n">
        <v>75000</v>
      </c>
      <c r="F67" s="4"/>
      <c r="G67" s="5" t="n">
        <f aca="false">IF(I67&lt;&gt;"",I67,ROUND(E67*(1-Ajustes!$B$3),-3))</f>
        <v>64000</v>
      </c>
      <c r="H67" s="5" t="str">
        <f aca="false">IF(F67="","",ROUND(F67*(1-Ajustes!$B$3),-3))</f>
        <v/>
      </c>
      <c r="I67" s="6"/>
      <c r="J67" s="2"/>
      <c r="K67" s="2" t="n">
        <v>10</v>
      </c>
      <c r="L67" s="2" t="s">
        <v>20</v>
      </c>
      <c r="M67" s="2" t="s">
        <v>15</v>
      </c>
      <c r="N67" s="3" t="s">
        <v>177</v>
      </c>
      <c r="O67" s="3"/>
    </row>
    <row r="68" customFormat="false" ht="15" hidden="false" customHeight="false" outlineLevel="0" collapsed="false">
      <c r="A68" s="2" t="s">
        <v>15</v>
      </c>
      <c r="B68" s="3" t="s">
        <v>178</v>
      </c>
      <c r="C68" s="3" t="s">
        <v>28</v>
      </c>
      <c r="D68" s="3" t="s">
        <v>18</v>
      </c>
      <c r="E68" s="4" t="n">
        <v>118000</v>
      </c>
      <c r="F68" s="4"/>
      <c r="G68" s="5" t="n">
        <f aca="false">IF(I68&lt;&gt;"",I68,ROUND(E68*(1-Ajustes!$B$3),-3))</f>
        <v>100000</v>
      </c>
      <c r="H68" s="5" t="str">
        <f aca="false">IF(F68="","",ROUND(F68*(1-Ajustes!$B$3),-3))</f>
        <v/>
      </c>
      <c r="I68" s="6"/>
      <c r="J68" s="2"/>
      <c r="K68" s="2" t="n">
        <v>10</v>
      </c>
      <c r="L68" s="2" t="s">
        <v>20</v>
      </c>
      <c r="M68" s="2" t="s">
        <v>15</v>
      </c>
      <c r="N68" s="3" t="s">
        <v>179</v>
      </c>
      <c r="O68" s="3"/>
    </row>
    <row r="69" customFormat="false" ht="15" hidden="false" customHeight="false" outlineLevel="0" collapsed="false">
      <c r="A69" s="2" t="s">
        <v>15</v>
      </c>
      <c r="B69" s="3" t="s">
        <v>180</v>
      </c>
      <c r="C69" s="3" t="s">
        <v>149</v>
      </c>
      <c r="D69" s="3" t="s">
        <v>18</v>
      </c>
      <c r="E69" s="4" t="n">
        <v>193000</v>
      </c>
      <c r="F69" s="4"/>
      <c r="G69" s="5" t="n">
        <f aca="false">IF(I69&lt;&gt;"",I69,ROUND(E69*(1-Ajustes!$B$3),-3))</f>
        <v>164000</v>
      </c>
      <c r="H69" s="5" t="str">
        <f aca="false">IF(F69="","",ROUND(F69*(1-Ajustes!$B$3),-3))</f>
        <v/>
      </c>
      <c r="I69" s="6"/>
      <c r="J69" s="2"/>
      <c r="K69" s="2" t="n">
        <v>10</v>
      </c>
      <c r="L69" s="2" t="s">
        <v>20</v>
      </c>
      <c r="M69" s="2" t="s">
        <v>15</v>
      </c>
      <c r="N69" s="3" t="s">
        <v>181</v>
      </c>
      <c r="O69" s="3"/>
    </row>
    <row r="70" customFormat="false" ht="15" hidden="false" customHeight="false" outlineLevel="0" collapsed="false">
      <c r="A70" s="2" t="s">
        <v>15</v>
      </c>
      <c r="B70" s="3" t="s">
        <v>182</v>
      </c>
      <c r="C70" s="3" t="s">
        <v>149</v>
      </c>
      <c r="D70" s="3" t="s">
        <v>18</v>
      </c>
      <c r="E70" s="4" t="n">
        <v>103000</v>
      </c>
      <c r="F70" s="4"/>
      <c r="G70" s="5" t="n">
        <f aca="false">IF(I70&lt;&gt;"",I70,ROUND(E70*(1-Ajustes!$B$3),-3))</f>
        <v>88000</v>
      </c>
      <c r="H70" s="5" t="str">
        <f aca="false">IF(F70="","",ROUND(F70*(1-Ajustes!$B$3),-3))</f>
        <v/>
      </c>
      <c r="I70" s="6"/>
      <c r="J70" s="2"/>
      <c r="K70" s="2" t="n">
        <v>10</v>
      </c>
      <c r="L70" s="2" t="s">
        <v>20</v>
      </c>
      <c r="M70" s="2" t="s">
        <v>15</v>
      </c>
      <c r="N70" s="3" t="s">
        <v>183</v>
      </c>
      <c r="O70" s="3"/>
    </row>
    <row r="71" customFormat="false" ht="15" hidden="false" customHeight="false" outlineLevel="0" collapsed="false">
      <c r="A71" s="2" t="s">
        <v>15</v>
      </c>
      <c r="B71" s="3" t="s">
        <v>184</v>
      </c>
      <c r="C71" s="3" t="s">
        <v>185</v>
      </c>
      <c r="D71" s="3" t="s">
        <v>168</v>
      </c>
      <c r="E71" s="4" t="n">
        <v>111000</v>
      </c>
      <c r="F71" s="4"/>
      <c r="G71" s="5" t="n">
        <f aca="false">IF(I71&lt;&gt;"",I71,ROUND(E71*(1-Ajustes!$B$3),-3))</f>
        <v>94000</v>
      </c>
      <c r="H71" s="5" t="str">
        <f aca="false">IF(F71="","",ROUND(F71*(1-Ajustes!$B$3),-3))</f>
        <v/>
      </c>
      <c r="I71" s="6"/>
      <c r="J71" s="2"/>
      <c r="K71" s="2" t="n">
        <v>10</v>
      </c>
      <c r="L71" s="2" t="s">
        <v>20</v>
      </c>
      <c r="M71" s="2" t="s">
        <v>15</v>
      </c>
      <c r="N71" s="3" t="s">
        <v>186</v>
      </c>
      <c r="O71" s="3"/>
    </row>
    <row r="72" customFormat="false" ht="15" hidden="false" customHeight="false" outlineLevel="0" collapsed="false">
      <c r="A72" s="2" t="s">
        <v>15</v>
      </c>
      <c r="B72" s="3" t="s">
        <v>187</v>
      </c>
      <c r="C72" s="3" t="s">
        <v>37</v>
      </c>
      <c r="D72" s="3" t="s">
        <v>85</v>
      </c>
      <c r="E72" s="4" t="n">
        <v>118000</v>
      </c>
      <c r="F72" s="4"/>
      <c r="G72" s="5" t="n">
        <f aca="false">IF(I72&lt;&gt;"",I72,ROUND(E72*(1-Ajustes!$B$3),-3))</f>
        <v>100000</v>
      </c>
      <c r="H72" s="5" t="str">
        <f aca="false">IF(F72="","",ROUND(F72*(1-Ajustes!$B$3),-3))</f>
        <v/>
      </c>
      <c r="I72" s="6"/>
      <c r="J72" s="2"/>
      <c r="K72" s="2" t="n">
        <v>10</v>
      </c>
      <c r="L72" s="2" t="s">
        <v>20</v>
      </c>
      <c r="M72" s="2" t="s">
        <v>15</v>
      </c>
      <c r="N72" s="3" t="s">
        <v>188</v>
      </c>
      <c r="O72" s="3" t="s">
        <v>39</v>
      </c>
    </row>
    <row r="73" customFormat="false" ht="15" hidden="false" customHeight="false" outlineLevel="0" collapsed="false">
      <c r="A73" s="2" t="s">
        <v>15</v>
      </c>
      <c r="B73" s="3" t="s">
        <v>189</v>
      </c>
      <c r="C73" s="3" t="s">
        <v>190</v>
      </c>
      <c r="D73" s="3" t="s">
        <v>18</v>
      </c>
      <c r="E73" s="4" t="n">
        <v>79000</v>
      </c>
      <c r="F73" s="4"/>
      <c r="G73" s="5" t="n">
        <f aca="false">IF(I73&lt;&gt;"",I73,ROUND(E73*(1-Ajustes!$B$3),-3))</f>
        <v>67000</v>
      </c>
      <c r="H73" s="5" t="str">
        <f aca="false">IF(F73="","",ROUND(F73*(1-Ajustes!$B$3),-3))</f>
        <v/>
      </c>
      <c r="I73" s="6"/>
      <c r="J73" s="2"/>
      <c r="K73" s="2" t="n">
        <v>10</v>
      </c>
      <c r="L73" s="2" t="s">
        <v>20</v>
      </c>
      <c r="M73" s="2" t="s">
        <v>15</v>
      </c>
      <c r="N73" s="3" t="s">
        <v>191</v>
      </c>
      <c r="O73" s="3"/>
    </row>
    <row r="74" customFormat="false" ht="15" hidden="false" customHeight="false" outlineLevel="0" collapsed="false">
      <c r="A74" s="2" t="s">
        <v>15</v>
      </c>
      <c r="B74" s="3" t="s">
        <v>192</v>
      </c>
      <c r="C74" s="3" t="s">
        <v>34</v>
      </c>
      <c r="D74" s="3" t="s">
        <v>18</v>
      </c>
      <c r="E74" s="4" t="n">
        <v>255000</v>
      </c>
      <c r="F74" s="4"/>
      <c r="G74" s="5" t="n">
        <f aca="false">IF(I74&lt;&gt;"",I74,ROUND(E74*(1-Ajustes!$B$3),-3))</f>
        <v>217000</v>
      </c>
      <c r="H74" s="5" t="str">
        <f aca="false">IF(F74="","",ROUND(F74*(1-Ajustes!$B$3),-3))</f>
        <v/>
      </c>
      <c r="I74" s="6"/>
      <c r="J74" s="2"/>
      <c r="K74" s="2" t="n">
        <v>10</v>
      </c>
      <c r="L74" s="2" t="s">
        <v>20</v>
      </c>
      <c r="M74" s="2" t="s">
        <v>15</v>
      </c>
      <c r="N74" s="3" t="s">
        <v>193</v>
      </c>
      <c r="O74" s="3"/>
    </row>
    <row r="75" customFormat="false" ht="15" hidden="false" customHeight="false" outlineLevel="0" collapsed="false">
      <c r="A75" s="2" t="s">
        <v>15</v>
      </c>
      <c r="B75" s="3" t="s">
        <v>194</v>
      </c>
      <c r="C75" s="3" t="s">
        <v>92</v>
      </c>
      <c r="D75" s="3" t="s">
        <v>18</v>
      </c>
      <c r="E75" s="4" t="n">
        <v>132000</v>
      </c>
      <c r="F75" s="4"/>
      <c r="G75" s="5" t="n">
        <f aca="false">IF(I75&lt;&gt;"",I75,ROUND(E75*(1-Ajustes!$B$3),-3))</f>
        <v>112000</v>
      </c>
      <c r="H75" s="5" t="str">
        <f aca="false">IF(F75="","",ROUND(F75*(1-Ajustes!$B$3),-3))</f>
        <v/>
      </c>
      <c r="I75" s="6"/>
      <c r="J75" s="2"/>
      <c r="K75" s="2" t="n">
        <v>10</v>
      </c>
      <c r="L75" s="2" t="s">
        <v>20</v>
      </c>
      <c r="M75" s="2" t="s">
        <v>15</v>
      </c>
      <c r="N75" s="3" t="s">
        <v>195</v>
      </c>
      <c r="O75" s="3"/>
    </row>
    <row r="76" customFormat="false" ht="15" hidden="false" customHeight="false" outlineLevel="0" collapsed="false">
      <c r="A76" s="2" t="s">
        <v>15</v>
      </c>
      <c r="B76" s="3" t="s">
        <v>196</v>
      </c>
      <c r="C76" s="3" t="s">
        <v>92</v>
      </c>
      <c r="D76" s="3" t="s">
        <v>59</v>
      </c>
      <c r="E76" s="4" t="n">
        <v>72000</v>
      </c>
      <c r="F76" s="4"/>
      <c r="G76" s="5" t="n">
        <f aca="false">IF(I76&lt;&gt;"",I76,ROUND(E76*(1-Ajustes!$B$3),-3))</f>
        <v>61000</v>
      </c>
      <c r="H76" s="5" t="str">
        <f aca="false">IF(F76="","",ROUND(F76*(1-Ajustes!$B$3),-3))</f>
        <v/>
      </c>
      <c r="I76" s="6"/>
      <c r="J76" s="2"/>
      <c r="K76" s="2" t="n">
        <v>10</v>
      </c>
      <c r="L76" s="2" t="s">
        <v>20</v>
      </c>
      <c r="M76" s="2" t="s">
        <v>15</v>
      </c>
      <c r="N76" s="3" t="s">
        <v>197</v>
      </c>
      <c r="O76" s="3"/>
    </row>
    <row r="77" customFormat="false" ht="15" hidden="false" customHeight="false" outlineLevel="0" collapsed="false">
      <c r="A77" s="2" t="s">
        <v>15</v>
      </c>
      <c r="B77" s="3" t="s">
        <v>198</v>
      </c>
      <c r="C77" s="3" t="s">
        <v>92</v>
      </c>
      <c r="D77" s="3" t="s">
        <v>59</v>
      </c>
      <c r="E77" s="4" t="n">
        <v>68000</v>
      </c>
      <c r="F77" s="4"/>
      <c r="G77" s="5" t="n">
        <f aca="false">IF(I77&lt;&gt;"",I77,ROUND(E77*(1-Ajustes!$B$3),-3))</f>
        <v>58000</v>
      </c>
      <c r="H77" s="5" t="str">
        <f aca="false">IF(F77="","",ROUND(F77*(1-Ajustes!$B$3),-3))</f>
        <v/>
      </c>
      <c r="I77" s="6"/>
      <c r="J77" s="2"/>
      <c r="K77" s="2" t="n">
        <v>10</v>
      </c>
      <c r="L77" s="2" t="s">
        <v>20</v>
      </c>
      <c r="M77" s="2" t="s">
        <v>15</v>
      </c>
      <c r="N77" s="3" t="s">
        <v>199</v>
      </c>
      <c r="O77" s="3"/>
    </row>
    <row r="78" customFormat="false" ht="15" hidden="false" customHeight="false" outlineLevel="0" collapsed="false">
      <c r="A78" s="2" t="s">
        <v>15</v>
      </c>
      <c r="B78" s="3" t="s">
        <v>200</v>
      </c>
      <c r="C78" s="3" t="s">
        <v>92</v>
      </c>
      <c r="D78" s="3" t="s">
        <v>59</v>
      </c>
      <c r="E78" s="4" t="n">
        <v>75000</v>
      </c>
      <c r="F78" s="4"/>
      <c r="G78" s="5" t="n">
        <f aca="false">IF(I78&lt;&gt;"",I78,ROUND(E78*(1-Ajustes!$B$3),-3))</f>
        <v>64000</v>
      </c>
      <c r="H78" s="5" t="str">
        <f aca="false">IF(F78="","",ROUND(F78*(1-Ajustes!$B$3),-3))</f>
        <v/>
      </c>
      <c r="I78" s="6"/>
      <c r="J78" s="2"/>
      <c r="K78" s="2" t="n">
        <v>10</v>
      </c>
      <c r="L78" s="2" t="s">
        <v>20</v>
      </c>
      <c r="M78" s="2" t="s">
        <v>15</v>
      </c>
      <c r="N78" s="3" t="s">
        <v>201</v>
      </c>
      <c r="O78" s="3"/>
    </row>
    <row r="79" customFormat="false" ht="15" hidden="false" customHeight="false" outlineLevel="0" collapsed="false">
      <c r="A79" s="2" t="s">
        <v>15</v>
      </c>
      <c r="B79" s="3" t="s">
        <v>202</v>
      </c>
      <c r="C79" s="3" t="s">
        <v>185</v>
      </c>
      <c r="D79" s="3" t="s">
        <v>18</v>
      </c>
      <c r="E79" s="4" t="n">
        <v>116000</v>
      </c>
      <c r="F79" s="4"/>
      <c r="G79" s="5" t="n">
        <f aca="false">IF(I79&lt;&gt;"",I79,ROUND(E79*(1-Ajustes!$B$3),-3))</f>
        <v>99000</v>
      </c>
      <c r="H79" s="5" t="str">
        <f aca="false">IF(F79="","",ROUND(F79*(1-Ajustes!$B$3),-3))</f>
        <v/>
      </c>
      <c r="I79" s="6"/>
      <c r="J79" s="2"/>
      <c r="K79" s="2" t="n">
        <v>10</v>
      </c>
      <c r="L79" s="2" t="s">
        <v>20</v>
      </c>
      <c r="M79" s="2" t="s">
        <v>15</v>
      </c>
      <c r="N79" s="3" t="s">
        <v>203</v>
      </c>
      <c r="O79" s="3"/>
    </row>
    <row r="80" customFormat="false" ht="15" hidden="false" customHeight="false" outlineLevel="0" collapsed="false">
      <c r="A80" s="2" t="s">
        <v>15</v>
      </c>
      <c r="B80" s="3" t="s">
        <v>204</v>
      </c>
      <c r="C80" s="3" t="s">
        <v>114</v>
      </c>
      <c r="D80" s="3" t="s">
        <v>59</v>
      </c>
      <c r="E80" s="4" t="n">
        <v>77000</v>
      </c>
      <c r="F80" s="4"/>
      <c r="G80" s="5" t="n">
        <f aca="false">IF(I80&lt;&gt;"",I80,ROUND(E80*(1-Ajustes!$B$3),-3))</f>
        <v>65000</v>
      </c>
      <c r="H80" s="5" t="str">
        <f aca="false">IF(F80="","",ROUND(F80*(1-Ajustes!$B$3),-3))</f>
        <v/>
      </c>
      <c r="I80" s="6"/>
      <c r="J80" s="2"/>
      <c r="K80" s="2" t="n">
        <v>10</v>
      </c>
      <c r="L80" s="2" t="s">
        <v>20</v>
      </c>
      <c r="M80" s="2" t="s">
        <v>15</v>
      </c>
      <c r="N80" s="3" t="s">
        <v>205</v>
      </c>
      <c r="O80" s="3"/>
    </row>
  </sheetData>
  <autoFilter ref="A1:O80"/>
  <dataValidations count="1">
    <dataValidation allowBlank="true" errorStyle="stop" operator="between" showDropDown="false" showErrorMessage="false" showInputMessage="false" sqref="A2:A80 L2:M80" type="list">
      <formula1>"Sí,No"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6"/>
  </cols>
  <sheetData>
    <row r="1" customFormat="false" ht="17.35" hidden="false" customHeight="false" outlineLevel="0" collapsed="false">
      <c r="A1" s="7" t="s">
        <v>206</v>
      </c>
    </row>
    <row r="3" customFormat="false" ht="15" hidden="false" customHeight="false" outlineLevel="0" collapsed="false">
      <c r="A3" s="8" t="s">
        <v>207</v>
      </c>
      <c r="B3" s="9" t="n">
        <v>0.15</v>
      </c>
    </row>
    <row r="4" customFormat="false" ht="15" hidden="false" customHeight="false" outlineLevel="0" collapsed="false">
      <c r="A4" s="8" t="s">
        <v>208</v>
      </c>
      <c r="B4" s="10" t="s">
        <v>209</v>
      </c>
    </row>
    <row r="6" customFormat="false" ht="15" hidden="false" customHeight="false" outlineLevel="0" collapsed="false">
      <c r="A6" s="11" t="s">
        <v>210</v>
      </c>
    </row>
    <row r="7" customFormat="false" ht="15" hidden="false" customHeight="false" outlineLevel="0" collapsed="false">
      <c r="A7" s="8" t="s">
        <v>211</v>
      </c>
    </row>
    <row r="8" customFormat="false" ht="15" hidden="false" customHeight="false" outlineLevel="0" collapsed="false">
      <c r="A8" s="8" t="s">
        <v>212</v>
      </c>
    </row>
    <row r="9" customFormat="false" ht="15" hidden="false" customHeight="false" outlineLevel="0" collapsed="false">
      <c r="A9" s="8" t="s">
        <v>213</v>
      </c>
    </row>
    <row r="10" customFormat="false" ht="15" hidden="false" customHeight="false" outlineLevel="0" collapsed="false">
      <c r="A10" s="8" t="s">
        <v>214</v>
      </c>
    </row>
    <row r="11" customFormat="false" ht="15" hidden="false" customHeight="false" outlineLevel="0" collapsed="false">
      <c r="A11" s="8" t="s">
        <v>215</v>
      </c>
    </row>
    <row r="12" customFormat="false" ht="15" hidden="false" customHeight="false" outlineLevel="0" collapsed="false">
      <c r="A12" s="8" t="s">
        <v>216</v>
      </c>
    </row>
    <row r="13" customFormat="false" ht="15" hidden="false" customHeight="false" outlineLevel="0" collapsed="false">
      <c r="A13" s="8" t="s">
        <v>217</v>
      </c>
    </row>
    <row r="14" customFormat="false" ht="15" hidden="false" customHeight="false" outlineLevel="0" collapsed="false">
      <c r="A14" s="8" t="s">
        <v>218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2026-10-17T16:12:24Z</dcterms:created>
  <dc:creator>openpyxl</dc:creator>
  <dc:description/>
  <dc:language>en-US</dc:language>
  <cp:lastModifiedBy/>
  <dcterms:modified xsi:type="dcterms:W3CDTF">2026-10-17T16:12:24Z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